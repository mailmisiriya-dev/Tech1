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2001_{22196D44-2771-42A2-8B0E-8520732B9ABE}" xr6:coauthVersionLast="47" xr6:coauthVersionMax="47" xr10:uidLastSave="{00000000-0000-0000-0000-000000000000}"/>
  <bookViews>
    <workbookView xWindow="-108" yWindow="-108" windowWidth="23256" windowHeight="12456" firstSheet="3" activeTab="8" xr2:uid="{00000000-000D-0000-FFFF-FFFF00000000}"/>
  </bookViews>
  <sheets>
    <sheet name="Sheet1" sheetId="4" r:id="rId1"/>
    <sheet name="Sheet2" sheetId="8" r:id="rId2"/>
    <sheet name="Sheet3" sheetId="10" r:id="rId3"/>
    <sheet name="Quick  Analysis" sheetId="14" r:id="rId4"/>
    <sheet name="Sales" sheetId="1" r:id="rId5"/>
    <sheet name="Products" sheetId="2" r:id="rId6"/>
    <sheet name="Regions" sheetId="3" r:id="rId7"/>
    <sheet name="Sales Dashboard" sheetId="12" r:id="rId8"/>
    <sheet name="Justify" sheetId="15" r:id="rId9"/>
  </sheets>
  <definedNames>
    <definedName name="_xlcn.WorksheetConnection_Codingchallengeweek4.xlsxTable31" hidden="1">Table3[]</definedName>
    <definedName name="_xlcn.WorksheetConnection_Sales_Dataset.xlsxTable11" hidden="1">Table1[]</definedName>
    <definedName name="_xlcn.WorksheetConnection_Sales_Dataset.xlsxTable21" hidden="1">Table2[]</definedName>
    <definedName name="Slicer_Category">#N/A</definedName>
    <definedName name="Slicer_Product_Name">#N/A</definedName>
    <definedName name="Timeline_OrderDate">#N/A</definedName>
  </definedNames>
  <calcPr calcId="191029"/>
  <pivotCaches>
    <pivotCache cacheId="5" r:id="rId10"/>
    <pivotCache cacheId="6" r:id="rId11"/>
    <pivotCache cacheId="7" r:id="rId12"/>
    <pivotCache cacheId="8" r:id="rId13"/>
    <pivotCache cacheId="9" r:id="rId14"/>
    <pivotCache cacheId="38" r:id="rId15"/>
  </pivotCaches>
  <fileRecoveryPr repairLoad="1"/>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FCE2AD5D-F65C-4FA6-A056-5C36A1767C68}">
      <x15:dataModel>
        <x15:modelTables>
          <x15:modelTable id="Table2" name="Table2" connection="WorksheetConnection_Sales_Dataset.xlsx!Table2"/>
          <x15:modelTable id="Table1" name="Table1" connection="WorksheetConnection_Sales_Dataset.xlsx!Table1"/>
          <x15:modelTable id="Table3" name="Table3" connection="WorksheetConnection_Coding challenge week 4.xlsx!Table3"/>
        </x15:modelTables>
        <x15:modelRelationships>
          <x15:modelRelationship fromTable="Table1" fromColumn="Product ID" toTable="Table2" toColumn="Product ID"/>
          <x15:modelRelationship fromTable="Table2" fromColumn="Product ID" toTable="Table3" toColumn="Produc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 l="1"/>
  <c r="G3" i="1"/>
  <c r="G4" i="1"/>
  <c r="G5" i="1"/>
  <c r="G6" i="1"/>
  <c r="G7" i="1"/>
  <c r="G8" i="1"/>
  <c r="G9" i="1"/>
  <c r="G10" i="1"/>
  <c r="G11" i="1"/>
  <c r="G2" i="1"/>
  <c r="F2" i="1"/>
  <c r="F3" i="1"/>
  <c r="F4" i="1"/>
  <c r="F5" i="1"/>
  <c r="F6" i="1"/>
  <c r="F7" i="1"/>
  <c r="F8" i="1"/>
  <c r="F9" i="1"/>
  <c r="F10" i="1"/>
  <c r="F1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F8A473-8E96-4AFB-B1DB-078A697CBE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75C69DE-4479-473C-89E3-9B8EB9C00506}" name="WorksheetConnection_Coding challenge week 4.xlsx!Table3" type="102" refreshedVersion="8" minRefreshableVersion="5">
    <extLst>
      <ext xmlns:x15="http://schemas.microsoft.com/office/spreadsheetml/2010/11/main" uri="{DE250136-89BD-433C-8126-D09CA5730AF9}">
        <x15:connection id="Table3">
          <x15:rangePr sourceName="_xlcn.WorksheetConnection_Codingchallengeweek4.xlsxTable31"/>
        </x15:connection>
      </ext>
    </extLst>
  </connection>
  <connection id="3" xr16:uid="{8A4CDFA7-8AC1-4F53-8DF0-985722D22381}" name="WorksheetConnection_Sales_Dataset.xlsx!Table1" type="102" refreshedVersion="8" minRefreshableVersion="5">
    <extLst>
      <ext xmlns:x15="http://schemas.microsoft.com/office/spreadsheetml/2010/11/main" uri="{DE250136-89BD-433C-8126-D09CA5730AF9}">
        <x15:connection id="Table1" autoDelete="1">
          <x15:rangePr sourceName="_xlcn.WorksheetConnection_Sales_Dataset.xlsxTable11"/>
        </x15:connection>
      </ext>
    </extLst>
  </connection>
  <connection id="4" xr16:uid="{616AE519-551C-42D4-81D4-57FA847C2187}" name="WorksheetConnection_Sales_Dataset.xlsx!Table2" type="102" refreshedVersion="8" minRefreshableVersion="5">
    <extLst>
      <ext xmlns:x15="http://schemas.microsoft.com/office/spreadsheetml/2010/11/main" uri="{DE250136-89BD-433C-8126-D09CA5730AF9}">
        <x15:connection id="Table2">
          <x15:rangePr sourceName="_xlcn.WorksheetConnection_Sales_Dataset.xlsxTable21"/>
        </x15:connection>
      </ext>
    </extLst>
  </connection>
</connections>
</file>

<file path=xl/sharedStrings.xml><?xml version="1.0" encoding="utf-8"?>
<sst xmlns="http://schemas.openxmlformats.org/spreadsheetml/2006/main" count="158" uniqueCount="87">
  <si>
    <t>OrderID</t>
  </si>
  <si>
    <t>OrderDate</t>
  </si>
  <si>
    <t>Quantity</t>
  </si>
  <si>
    <t>Category</t>
  </si>
  <si>
    <t>Laptop</t>
  </si>
  <si>
    <t>Electronics</t>
  </si>
  <si>
    <t>Printer</t>
  </si>
  <si>
    <t>Furniture</t>
  </si>
  <si>
    <t>North</t>
  </si>
  <si>
    <t>South</t>
  </si>
  <si>
    <t>West</t>
  </si>
  <si>
    <t>East</t>
  </si>
  <si>
    <t>Product ID</t>
  </si>
  <si>
    <t>Sales Amount</t>
  </si>
  <si>
    <t>ID6</t>
  </si>
  <si>
    <t>ID1</t>
  </si>
  <si>
    <t>ID2</t>
  </si>
  <si>
    <t>ID3</t>
  </si>
  <si>
    <t>ID4</t>
  </si>
  <si>
    <t>ID5</t>
  </si>
  <si>
    <t>1D7</t>
  </si>
  <si>
    <t>1D8</t>
  </si>
  <si>
    <t>Chair</t>
  </si>
  <si>
    <t>Table</t>
  </si>
  <si>
    <t>TV</t>
  </si>
  <si>
    <t>Product Name</t>
  </si>
  <si>
    <t>Region Name</t>
  </si>
  <si>
    <t>Monthly Sales</t>
  </si>
  <si>
    <t>Week Day</t>
  </si>
  <si>
    <t>Row Labels</t>
  </si>
  <si>
    <t>Apr-2025</t>
  </si>
  <si>
    <t>Feb-2025</t>
  </si>
  <si>
    <t>Jan-2025</t>
  </si>
  <si>
    <t>Jul-2025</t>
  </si>
  <si>
    <t>Jun-2025</t>
  </si>
  <si>
    <t>Mar-2025</t>
  </si>
  <si>
    <t>May-2025</t>
  </si>
  <si>
    <t>Grand Total</t>
  </si>
  <si>
    <t>Sum of Sales Amount</t>
  </si>
  <si>
    <t>Tablet</t>
  </si>
  <si>
    <t>Washing Mashine</t>
  </si>
  <si>
    <t>Sofa</t>
  </si>
  <si>
    <t>Dining Table</t>
  </si>
  <si>
    <t>Mobile Phone</t>
  </si>
  <si>
    <t>ID9</t>
  </si>
  <si>
    <t>ID10</t>
  </si>
  <si>
    <t>Column Labels</t>
  </si>
  <si>
    <t>SALES DASHBOARD</t>
  </si>
  <si>
    <t>Sum of Quantity</t>
  </si>
  <si>
    <t>Sum</t>
  </si>
  <si>
    <t>Average</t>
  </si>
  <si>
    <t>Running Total</t>
  </si>
  <si>
    <t>Count</t>
  </si>
  <si>
    <t>Column1</t>
  </si>
  <si>
    <t>Pivot Tables = fast aggregation</t>
  </si>
  <si>
    <t>Line chart = trend visibility</t>
  </si>
  <si>
    <t>Bar chart = product ranking</t>
  </si>
  <si>
    <t>Column chart = regional comparison</t>
  </si>
  <si>
    <t>Slicers = interactive dashboard</t>
  </si>
  <si>
    <t>Analyze Data = instant insights</t>
  </si>
  <si>
    <t>Pivot Features</t>
  </si>
  <si>
    <r>
      <t>1)</t>
    </r>
    <r>
      <rPr>
        <b/>
        <sz val="11"/>
        <color theme="1"/>
        <rFont val="Calibri"/>
        <family val="2"/>
        <scheme val="minor"/>
      </rPr>
      <t xml:space="preserve"> Pivot Tables-Chosen because they are designed to summarize and analyze large datasets, allowing for rapid reorganization (pivoting) of columns and rows. They are ideal for aggregating data by categories (e.g., Sum of Sales by Region).</t>
    </r>
  </si>
  <si>
    <r>
      <t>2)</t>
    </r>
    <r>
      <rPr>
        <b/>
        <sz val="11"/>
        <color theme="1"/>
        <rFont val="Calibri"/>
        <family val="2"/>
        <scheme val="minor"/>
      </rPr>
      <t xml:space="preserve"> "Summarize by" (Sum, Average, Count): These predefined functions in Pivot Tables are selected for efficiency, allowing quick calculation of totals or averages without manual formulas.</t>
    </r>
  </si>
  <si>
    <r>
      <t>3)</t>
    </r>
    <r>
      <rPr>
        <b/>
        <sz val="11"/>
        <color theme="1"/>
        <rFont val="Calibri"/>
        <family val="2"/>
        <scheme val="minor"/>
      </rPr>
      <t>"Show Data As" (% of Total): This feature is used to show relative proportions within a, pivot, providing better context for, say, a product's share of total revenue.</t>
    </r>
  </si>
  <si>
    <r>
      <t xml:space="preserve">4) </t>
    </r>
    <r>
      <rPr>
        <b/>
        <sz val="11"/>
        <color theme="1"/>
        <rFont val="Calibri"/>
        <family val="2"/>
        <scheme val="minor"/>
      </rPr>
      <t>Slicers/Filters: Used to provide dynamic, interactive filtering, making it easy to slice data by different dimensions (e.g., date, product, category) without changing the underlying report structure. </t>
    </r>
  </si>
  <si>
    <t>Chart Types( Visualization)</t>
  </si>
  <si>
    <t>Bar/Column Charts</t>
  </si>
  <si>
    <t>Selected for comparing quantities across different categories. Horizontal bars are specifically chosen for long category labels.</t>
  </si>
  <si>
    <t>Line Charts</t>
  </si>
  <si>
    <t>Chosen to track changes, trends, or volatility in data over time.</t>
  </si>
  <si>
    <t>Combo Chart</t>
  </si>
  <si>
    <t>Used to compare two different metrics with different units or scales </t>
  </si>
  <si>
    <t>Column Chart: Used to show the breakdown of a total (part-to-whole) while still enabling comparison between categories</t>
  </si>
  <si>
    <t>Pie Chart</t>
  </si>
  <si>
    <t>This chart type show proportions of a whole use it when thetotal of your  number is 100%</t>
  </si>
  <si>
    <t>Use Date &amp; Time Functions management wants monthly trends and weekday comparison</t>
  </si>
  <si>
    <t>Pivot Tables work best when all fields are in one table.</t>
  </si>
  <si>
    <t>Interactive Dashboard- Insert slicers - Month ,Category,Region</t>
  </si>
  <si>
    <t>Slicer- make dashboard interactive without formulas.</t>
  </si>
  <si>
    <t>Excel AI / Quick Analysis</t>
  </si>
  <si>
    <t>Select data → press Ctrl + Q</t>
  </si>
  <si>
    <t>Excel suggests:</t>
  </si>
  <si>
    <t>Charts,Totals,Trends</t>
  </si>
  <si>
    <t>Use Elkar AI Tool</t>
  </si>
  <si>
    <t>Shows average of the monthly sales</t>
  </si>
  <si>
    <t>Excel generates visuals automatically.</t>
  </si>
  <si>
    <t>Saves time and gives quick business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</si>
</sst>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6" x14ac:knownFonts="1">
    <font>
      <sz val="11"/>
      <color theme="1"/>
      <name val="Calibri"/>
      <family val="2"/>
      <scheme val="minor"/>
    </font>
    <font>
      <b/>
      <sz val="36"/>
      <color theme="1"/>
      <name val="Aldhabi"/>
      <charset val="178"/>
    </font>
    <font>
      <sz val="36"/>
      <color theme="1"/>
      <name val="Calibri"/>
      <family val="2"/>
      <scheme val="minor"/>
    </font>
    <font>
      <b/>
      <sz val="28"/>
      <color theme="1"/>
      <name val="Calibri"/>
      <family val="2"/>
      <scheme val="minor"/>
    </font>
    <font>
      <b/>
      <sz val="11"/>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7" tint="0.39997558519241921"/>
        <bgColor indexed="64"/>
      </patternFill>
    </fill>
    <fill>
      <patternFill patternType="solid">
        <fgColor theme="9" tint="0.39997558519241921"/>
        <bgColor indexed="64"/>
      </patternFill>
    </fill>
    <fill>
      <patternFill patternType="solid">
        <fgColor theme="9"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9">
    <xf numFmtId="0" fontId="0" fillId="0" borderId="0" xfId="0"/>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 xfId="0" applyBorder="1" applyAlignment="1">
      <alignment horizontal="center"/>
    </xf>
    <xf numFmtId="164" fontId="0" fillId="0" borderId="1" xfId="0" applyNumberFormat="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7" xfId="0" applyBorder="1" applyAlignment="1">
      <alignment horizontal="center"/>
    </xf>
    <xf numFmtId="164" fontId="0" fillId="0" borderId="8" xfId="0" applyNumberForma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1" fillId="2" borderId="0" xfId="0" applyFont="1" applyFill="1" applyAlignment="1">
      <alignment wrapText="1"/>
    </xf>
    <xf numFmtId="0" fontId="2" fillId="2" borderId="0" xfId="0" applyFont="1" applyFill="1" applyAlignment="1">
      <alignment wrapText="1"/>
    </xf>
    <xf numFmtId="0" fontId="0" fillId="2" borderId="0" xfId="0" applyFill="1" applyAlignment="1"/>
    <xf numFmtId="0" fontId="0" fillId="3" borderId="0" xfId="0" applyFill="1"/>
    <xf numFmtId="0" fontId="0" fillId="0" borderId="1" xfId="0" pivotButton="1" applyBorder="1" applyAlignment="1">
      <alignment horizontal="center"/>
    </xf>
    <xf numFmtId="0" fontId="0" fillId="0" borderId="1" xfId="0" applyNumberFormat="1" applyBorder="1" applyAlignment="1">
      <alignment horizontal="center"/>
    </xf>
    <xf numFmtId="0" fontId="0" fillId="0" borderId="1" xfId="0" pivotButton="1" applyBorder="1" applyAlignment="1">
      <alignment horizontal="center" wrapText="1"/>
    </xf>
    <xf numFmtId="0" fontId="0" fillId="0" borderId="1" xfId="0" applyBorder="1" applyAlignment="1">
      <alignment horizontal="center" wrapText="1"/>
    </xf>
    <xf numFmtId="0" fontId="3" fillId="2" borderId="0" xfId="0" applyFont="1" applyFill="1" applyAlignment="1"/>
    <xf numFmtId="0" fontId="0" fillId="4" borderId="0" xfId="0" applyFill="1"/>
    <xf numFmtId="0" fontId="1" fillId="4" borderId="0" xfId="0" applyFont="1" applyFill="1"/>
    <xf numFmtId="0" fontId="3" fillId="4" borderId="0" xfId="0" applyFont="1" applyFill="1" applyAlignment="1"/>
    <xf numFmtId="0" fontId="0" fillId="0" borderId="1" xfId="0" pivotButton="1" applyBorder="1"/>
    <xf numFmtId="0" fontId="0" fillId="0" borderId="1" xfId="0" applyBorder="1"/>
    <xf numFmtId="0" fontId="0" fillId="0" borderId="1" xfId="0" applyNumberFormat="1" applyBorder="1"/>
    <xf numFmtId="0" fontId="0" fillId="0" borderId="8" xfId="0" applyNumberFormat="1" applyBorder="1" applyAlignment="1">
      <alignment horizontal="center"/>
    </xf>
    <xf numFmtId="0" fontId="0" fillId="0" borderId="9" xfId="0" applyNumberFormat="1" applyBorder="1" applyAlignment="1">
      <alignment horizontal="center"/>
    </xf>
    <xf numFmtId="0" fontId="4" fillId="0" borderId="0" xfId="0" applyFont="1"/>
    <xf numFmtId="0" fontId="5" fillId="0" borderId="0" xfId="0" applyFont="1"/>
  </cellXfs>
  <cellStyles count="1">
    <cellStyle name="Normal" xfId="0" builtinId="0"/>
  </cellStyles>
  <dxfs count="77">
    <dxf>
      <numFmt numFmtId="0" formatCode="General"/>
      <alignment horizontal="center" vertical="bottom" textRotation="0" wrapText="0" indent="0" justifyLastLine="0" shrinkToFit="0" readingOrder="0"/>
      <border diagonalUp="0" diagonalDown="0" outline="0">
        <left style="thin">
          <color indexed="64"/>
        </left>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4" formatCode="[$-14009]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right style="thin">
          <color indexed="64"/>
        </right>
        <top style="thin">
          <color indexed="64"/>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14009]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wrapText="1"/>
    </dxf>
    <dxf>
      <alignment wrapText="1"/>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week 4 (version 2).xlsx]Sheet1!PivotTable1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Sheet1!$A$4:$A$11</c:f>
              <c:strCache>
                <c:ptCount val="7"/>
                <c:pt idx="0">
                  <c:v>Apr-2025</c:v>
                </c:pt>
                <c:pt idx="1">
                  <c:v>Feb-2025</c:v>
                </c:pt>
                <c:pt idx="2">
                  <c:v>Jan-2025</c:v>
                </c:pt>
                <c:pt idx="3">
                  <c:v>Jul-2025</c:v>
                </c:pt>
                <c:pt idx="4">
                  <c:v>Jun-2025</c:v>
                </c:pt>
                <c:pt idx="5">
                  <c:v>Mar-2025</c:v>
                </c:pt>
                <c:pt idx="6">
                  <c:v>May-2025</c:v>
                </c:pt>
              </c:strCache>
            </c:strRef>
          </c:cat>
          <c:val>
            <c:numRef>
              <c:f>Sheet1!$B$4:$B$11</c:f>
              <c:numCache>
                <c:formatCode>General</c:formatCode>
                <c:ptCount val="7"/>
                <c:pt idx="0">
                  <c:v>6000</c:v>
                </c:pt>
                <c:pt idx="1">
                  <c:v>6000</c:v>
                </c:pt>
                <c:pt idx="2">
                  <c:v>2000</c:v>
                </c:pt>
                <c:pt idx="3">
                  <c:v>3000</c:v>
                </c:pt>
                <c:pt idx="4">
                  <c:v>3000</c:v>
                </c:pt>
                <c:pt idx="5">
                  <c:v>4000</c:v>
                </c:pt>
                <c:pt idx="6">
                  <c:v>4500</c:v>
                </c:pt>
              </c:numCache>
            </c:numRef>
          </c:val>
          <c:smooth val="0"/>
          <c:extLst>
            <c:ext xmlns:c16="http://schemas.microsoft.com/office/drawing/2014/chart" uri="{C3380CC4-5D6E-409C-BE32-E72D297353CC}">
              <c16:uniqueId val="{00000000-D004-4D43-9C92-38DB7F5D207E}"/>
            </c:ext>
          </c:extLst>
        </c:ser>
        <c:dLbls>
          <c:showLegendKey val="0"/>
          <c:showVal val="0"/>
          <c:showCatName val="0"/>
          <c:showSerName val="0"/>
          <c:showPercent val="0"/>
          <c:showBubbleSize val="0"/>
        </c:dLbls>
        <c:marker val="1"/>
        <c:smooth val="0"/>
        <c:axId val="827275135"/>
        <c:axId val="827283295"/>
      </c:lineChart>
      <c:catAx>
        <c:axId val="82727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283295"/>
        <c:crosses val="autoZero"/>
        <c:auto val="1"/>
        <c:lblAlgn val="ctr"/>
        <c:lblOffset val="100"/>
        <c:noMultiLvlLbl val="0"/>
      </c:catAx>
      <c:valAx>
        <c:axId val="827283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27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week 4 (version 2).xlsx]Sheet2!PivotTable6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Chair</c:v>
                </c:pt>
                <c:pt idx="1">
                  <c:v>Dining Table</c:v>
                </c:pt>
                <c:pt idx="2">
                  <c:v>Mobile Phone</c:v>
                </c:pt>
                <c:pt idx="3">
                  <c:v>Tablet</c:v>
                </c:pt>
                <c:pt idx="4">
                  <c:v>TV</c:v>
                </c:pt>
              </c:strCache>
            </c:strRef>
          </c:cat>
          <c:val>
            <c:numRef>
              <c:f>Sheet2!$B$4:$B$9</c:f>
              <c:numCache>
                <c:formatCode>General</c:formatCode>
                <c:ptCount val="5"/>
                <c:pt idx="0">
                  <c:v>4500</c:v>
                </c:pt>
                <c:pt idx="1">
                  <c:v>3000</c:v>
                </c:pt>
                <c:pt idx="2">
                  <c:v>3000</c:v>
                </c:pt>
                <c:pt idx="3">
                  <c:v>6000</c:v>
                </c:pt>
                <c:pt idx="4">
                  <c:v>3000</c:v>
                </c:pt>
              </c:numCache>
            </c:numRef>
          </c:val>
          <c:extLst>
            <c:ext xmlns:c16="http://schemas.microsoft.com/office/drawing/2014/chart" uri="{C3380CC4-5D6E-409C-BE32-E72D297353CC}">
              <c16:uniqueId val="{00000000-9F27-470B-8281-7D27ECC48E7C}"/>
            </c:ext>
          </c:extLst>
        </c:ser>
        <c:dLbls>
          <c:dLblPos val="outEnd"/>
          <c:showLegendKey val="0"/>
          <c:showVal val="1"/>
          <c:showCatName val="0"/>
          <c:showSerName val="0"/>
          <c:showPercent val="0"/>
          <c:showBubbleSize val="0"/>
        </c:dLbls>
        <c:gapWidth val="219"/>
        <c:overlap val="-27"/>
        <c:axId val="827262175"/>
        <c:axId val="827258335"/>
      </c:barChart>
      <c:catAx>
        <c:axId val="82726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258335"/>
        <c:crosses val="autoZero"/>
        <c:auto val="1"/>
        <c:lblAlgn val="ctr"/>
        <c:lblOffset val="100"/>
        <c:noMultiLvlLbl val="0"/>
      </c:catAx>
      <c:valAx>
        <c:axId val="827258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26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week 4 (version 2).xlsx]Sheet3!PivotTable8</c:name>
    <c:fmtId val="1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Sheet3!$B$3:$B$4</c:f>
              <c:strCache>
                <c:ptCount val="1"/>
                <c:pt idx="0">
                  <c:v>East</c:v>
                </c:pt>
              </c:strCache>
            </c:strRef>
          </c:tx>
          <c:spPr>
            <a:solidFill>
              <a:schemeClr val="accent1"/>
            </a:solidFill>
            <a:ln>
              <a:noFill/>
            </a:ln>
            <a:effectLst/>
            <a:sp3d/>
          </c:spPr>
          <c:invertIfNegative val="0"/>
          <c:cat>
            <c:strRef>
              <c:f>Sheet3!$A$5:$A$7</c:f>
              <c:strCache>
                <c:ptCount val="2"/>
                <c:pt idx="0">
                  <c:v>Electronics</c:v>
                </c:pt>
                <c:pt idx="1">
                  <c:v>Furniture</c:v>
                </c:pt>
              </c:strCache>
            </c:strRef>
          </c:cat>
          <c:val>
            <c:numRef>
              <c:f>Sheet3!$B$5:$B$7</c:f>
              <c:numCache>
                <c:formatCode>General</c:formatCode>
                <c:ptCount val="2"/>
                <c:pt idx="1">
                  <c:v>1000</c:v>
                </c:pt>
              </c:numCache>
            </c:numRef>
          </c:val>
          <c:extLst>
            <c:ext xmlns:c16="http://schemas.microsoft.com/office/drawing/2014/chart" uri="{C3380CC4-5D6E-409C-BE32-E72D297353CC}">
              <c16:uniqueId val="{00000000-29D1-4E1C-AA03-354ED271C352}"/>
            </c:ext>
          </c:extLst>
        </c:ser>
        <c:ser>
          <c:idx val="1"/>
          <c:order val="1"/>
          <c:tx>
            <c:strRef>
              <c:f>Sheet3!$C$3:$C$4</c:f>
              <c:strCache>
                <c:ptCount val="1"/>
                <c:pt idx="0">
                  <c:v>North</c:v>
                </c:pt>
              </c:strCache>
            </c:strRef>
          </c:tx>
          <c:spPr>
            <a:solidFill>
              <a:schemeClr val="accent2"/>
            </a:solidFill>
            <a:ln>
              <a:noFill/>
            </a:ln>
            <a:effectLst/>
            <a:sp3d/>
          </c:spPr>
          <c:invertIfNegative val="0"/>
          <c:cat>
            <c:strRef>
              <c:f>Sheet3!$A$5:$A$7</c:f>
              <c:strCache>
                <c:ptCount val="2"/>
                <c:pt idx="0">
                  <c:v>Electronics</c:v>
                </c:pt>
                <c:pt idx="1">
                  <c:v>Furniture</c:v>
                </c:pt>
              </c:strCache>
            </c:strRef>
          </c:cat>
          <c:val>
            <c:numRef>
              <c:f>Sheet3!$C$5:$C$7</c:f>
              <c:numCache>
                <c:formatCode>General</c:formatCode>
                <c:ptCount val="2"/>
                <c:pt idx="0">
                  <c:v>2000</c:v>
                </c:pt>
              </c:numCache>
            </c:numRef>
          </c:val>
          <c:extLst>
            <c:ext xmlns:c16="http://schemas.microsoft.com/office/drawing/2014/chart" uri="{C3380CC4-5D6E-409C-BE32-E72D297353CC}">
              <c16:uniqueId val="{00000001-29D1-4E1C-AA03-354ED271C352}"/>
            </c:ext>
          </c:extLst>
        </c:ser>
        <c:ser>
          <c:idx val="2"/>
          <c:order val="2"/>
          <c:tx>
            <c:strRef>
              <c:f>Sheet3!$D$3:$D$4</c:f>
              <c:strCache>
                <c:ptCount val="1"/>
                <c:pt idx="0">
                  <c:v>South</c:v>
                </c:pt>
              </c:strCache>
            </c:strRef>
          </c:tx>
          <c:spPr>
            <a:solidFill>
              <a:schemeClr val="accent3"/>
            </a:solidFill>
            <a:ln>
              <a:noFill/>
            </a:ln>
            <a:effectLst/>
            <a:sp3d/>
          </c:spPr>
          <c:invertIfNegative val="0"/>
          <c:cat>
            <c:strRef>
              <c:f>Sheet3!$A$5:$A$7</c:f>
              <c:strCache>
                <c:ptCount val="2"/>
                <c:pt idx="0">
                  <c:v>Electronics</c:v>
                </c:pt>
                <c:pt idx="1">
                  <c:v>Furniture</c:v>
                </c:pt>
              </c:strCache>
            </c:strRef>
          </c:cat>
          <c:val>
            <c:numRef>
              <c:f>Sheet3!$D$5:$D$7</c:f>
              <c:numCache>
                <c:formatCode>General</c:formatCode>
                <c:ptCount val="2"/>
                <c:pt idx="0">
                  <c:v>1500</c:v>
                </c:pt>
              </c:numCache>
            </c:numRef>
          </c:val>
          <c:extLst>
            <c:ext xmlns:c16="http://schemas.microsoft.com/office/drawing/2014/chart" uri="{C3380CC4-5D6E-409C-BE32-E72D297353CC}">
              <c16:uniqueId val="{00000016-29D1-4E1C-AA03-354ED271C352}"/>
            </c:ext>
          </c:extLst>
        </c:ser>
        <c:ser>
          <c:idx val="3"/>
          <c:order val="3"/>
          <c:tx>
            <c:strRef>
              <c:f>Sheet3!$E$3:$E$4</c:f>
              <c:strCache>
                <c:ptCount val="1"/>
                <c:pt idx="0">
                  <c:v>West</c:v>
                </c:pt>
              </c:strCache>
            </c:strRef>
          </c:tx>
          <c:spPr>
            <a:solidFill>
              <a:schemeClr val="accent4"/>
            </a:solidFill>
            <a:ln>
              <a:noFill/>
            </a:ln>
            <a:effectLst/>
            <a:sp3d/>
          </c:spPr>
          <c:invertIfNegative val="0"/>
          <c:cat>
            <c:strRef>
              <c:f>Sheet3!$A$5:$A$7</c:f>
              <c:strCache>
                <c:ptCount val="2"/>
                <c:pt idx="0">
                  <c:v>Electronics</c:v>
                </c:pt>
                <c:pt idx="1">
                  <c:v>Furniture</c:v>
                </c:pt>
              </c:strCache>
            </c:strRef>
          </c:cat>
          <c:val>
            <c:numRef>
              <c:f>Sheet3!$E$5:$E$7</c:f>
              <c:numCache>
                <c:formatCode>General</c:formatCode>
                <c:ptCount val="2"/>
                <c:pt idx="1">
                  <c:v>4500</c:v>
                </c:pt>
              </c:numCache>
            </c:numRef>
          </c:val>
          <c:extLst>
            <c:ext xmlns:c16="http://schemas.microsoft.com/office/drawing/2014/chart" uri="{C3380CC4-5D6E-409C-BE32-E72D297353CC}">
              <c16:uniqueId val="{00000017-29D1-4E1C-AA03-354ED271C352}"/>
            </c:ext>
          </c:extLst>
        </c:ser>
        <c:dLbls>
          <c:showLegendKey val="0"/>
          <c:showVal val="0"/>
          <c:showCatName val="0"/>
          <c:showSerName val="0"/>
          <c:showPercent val="0"/>
          <c:showBubbleSize val="0"/>
        </c:dLbls>
        <c:gapWidth val="150"/>
        <c:shape val="box"/>
        <c:axId val="1511045007"/>
        <c:axId val="1511056047"/>
        <c:axId val="0"/>
      </c:bar3DChart>
      <c:catAx>
        <c:axId val="1511045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056047"/>
        <c:crosses val="autoZero"/>
        <c:auto val="1"/>
        <c:lblAlgn val="ctr"/>
        <c:lblOffset val="100"/>
        <c:noMultiLvlLbl val="0"/>
      </c:catAx>
      <c:valAx>
        <c:axId val="151105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04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[Coding challenge week 4 (version 2).xlsx]Quick  Analysis!PivotTable11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Quantity by 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Analysis'!$B$3</c:f>
              <c:strCache>
                <c:ptCount val="1"/>
                <c:pt idx="0">
                  <c:v>Total</c:v>
                </c:pt>
              </c:strCache>
            </c:strRef>
          </c:tx>
          <c:spPr>
            <a:solidFill>
              <a:schemeClr val="accent4"/>
            </a:solidFill>
            <a:ln>
              <a:noFill/>
            </a:ln>
            <a:effectLst/>
          </c:spPr>
          <c:invertIfNegative val="0"/>
          <c:cat>
            <c:strRef>
              <c:f>'Quick  Analysis'!$A$4:$A$10</c:f>
              <c:strCache>
                <c:ptCount val="7"/>
                <c:pt idx="0">
                  <c:v>Apr-2025</c:v>
                </c:pt>
                <c:pt idx="1">
                  <c:v>Feb-2025</c:v>
                </c:pt>
                <c:pt idx="2">
                  <c:v>Jan-2025</c:v>
                </c:pt>
                <c:pt idx="3">
                  <c:v>Jul-2025</c:v>
                </c:pt>
                <c:pt idx="4">
                  <c:v>Jun-2025</c:v>
                </c:pt>
                <c:pt idx="5">
                  <c:v>Mar-2025</c:v>
                </c:pt>
                <c:pt idx="6">
                  <c:v>May-2025</c:v>
                </c:pt>
              </c:strCache>
            </c:strRef>
          </c:cat>
          <c:val>
            <c:numRef>
              <c:f>'Quick  Analysis'!$B$4:$B$10</c:f>
              <c:numCache>
                <c:formatCode>General</c:formatCode>
                <c:ptCount val="7"/>
                <c:pt idx="0">
                  <c:v>4</c:v>
                </c:pt>
                <c:pt idx="1">
                  <c:v>4</c:v>
                </c:pt>
                <c:pt idx="2">
                  <c:v>2</c:v>
                </c:pt>
                <c:pt idx="3">
                  <c:v>2</c:v>
                </c:pt>
                <c:pt idx="4">
                  <c:v>3</c:v>
                </c:pt>
                <c:pt idx="5">
                  <c:v>3</c:v>
                </c:pt>
                <c:pt idx="6">
                  <c:v>3</c:v>
                </c:pt>
              </c:numCache>
            </c:numRef>
          </c:val>
          <c:extLst>
            <c:ext xmlns:c16="http://schemas.microsoft.com/office/drawing/2014/chart" uri="{C3380CC4-5D6E-409C-BE32-E72D297353CC}">
              <c16:uniqueId val="{00000000-1450-48EC-BD13-AA5008F51F12}"/>
            </c:ext>
          </c:extLst>
        </c:ser>
        <c:dLbls>
          <c:showLegendKey val="0"/>
          <c:showVal val="0"/>
          <c:showCatName val="0"/>
          <c:showSerName val="0"/>
          <c:showPercent val="0"/>
          <c:showBubbleSize val="0"/>
        </c:dLbls>
        <c:gapWidth val="219"/>
        <c:overlap val="-27"/>
        <c:axId val="996294351"/>
        <c:axId val="996295791"/>
      </c:barChart>
      <c:catAx>
        <c:axId val="99629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295791"/>
        <c:crosses val="autoZero"/>
        <c:auto val="1"/>
        <c:lblAlgn val="ctr"/>
        <c:lblOffset val="100"/>
        <c:noMultiLvlLbl val="0"/>
      </c:catAx>
      <c:valAx>
        <c:axId val="996295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2943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week 4 (version 2).xlsx]Sheet1!PivotTable1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Sheet1!$A$4:$A$11</c:f>
              <c:strCache>
                <c:ptCount val="7"/>
                <c:pt idx="0">
                  <c:v>Apr-2025</c:v>
                </c:pt>
                <c:pt idx="1">
                  <c:v>Feb-2025</c:v>
                </c:pt>
                <c:pt idx="2">
                  <c:v>Jan-2025</c:v>
                </c:pt>
                <c:pt idx="3">
                  <c:v>Jul-2025</c:v>
                </c:pt>
                <c:pt idx="4">
                  <c:v>Jun-2025</c:v>
                </c:pt>
                <c:pt idx="5">
                  <c:v>Mar-2025</c:v>
                </c:pt>
                <c:pt idx="6">
                  <c:v>May-2025</c:v>
                </c:pt>
              </c:strCache>
            </c:strRef>
          </c:cat>
          <c:val>
            <c:numRef>
              <c:f>Sheet1!$B$4:$B$11</c:f>
              <c:numCache>
                <c:formatCode>General</c:formatCode>
                <c:ptCount val="7"/>
                <c:pt idx="0">
                  <c:v>6000</c:v>
                </c:pt>
                <c:pt idx="1">
                  <c:v>6000</c:v>
                </c:pt>
                <c:pt idx="2">
                  <c:v>2000</c:v>
                </c:pt>
                <c:pt idx="3">
                  <c:v>3000</c:v>
                </c:pt>
                <c:pt idx="4">
                  <c:v>3000</c:v>
                </c:pt>
                <c:pt idx="5">
                  <c:v>4000</c:v>
                </c:pt>
                <c:pt idx="6">
                  <c:v>4500</c:v>
                </c:pt>
              </c:numCache>
            </c:numRef>
          </c:val>
          <c:smooth val="0"/>
          <c:extLst>
            <c:ext xmlns:c16="http://schemas.microsoft.com/office/drawing/2014/chart" uri="{C3380CC4-5D6E-409C-BE32-E72D297353CC}">
              <c16:uniqueId val="{00000000-2B26-4D8C-B428-B4A2D547E744}"/>
            </c:ext>
          </c:extLst>
        </c:ser>
        <c:dLbls>
          <c:showLegendKey val="0"/>
          <c:showVal val="0"/>
          <c:showCatName val="0"/>
          <c:showSerName val="0"/>
          <c:showPercent val="0"/>
          <c:showBubbleSize val="0"/>
        </c:dLbls>
        <c:marker val="1"/>
        <c:smooth val="0"/>
        <c:axId val="827275135"/>
        <c:axId val="827283295"/>
      </c:lineChart>
      <c:catAx>
        <c:axId val="82727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283295"/>
        <c:crosses val="autoZero"/>
        <c:auto val="1"/>
        <c:lblAlgn val="ctr"/>
        <c:lblOffset val="100"/>
        <c:noMultiLvlLbl val="0"/>
      </c:catAx>
      <c:valAx>
        <c:axId val="827283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27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week 4 (version 2).xlsx]Sheet2!PivotTable6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Chair</c:v>
                </c:pt>
                <c:pt idx="1">
                  <c:v>Dining Table</c:v>
                </c:pt>
                <c:pt idx="2">
                  <c:v>Mobile Phone</c:v>
                </c:pt>
                <c:pt idx="3">
                  <c:v>Tablet</c:v>
                </c:pt>
                <c:pt idx="4">
                  <c:v>TV</c:v>
                </c:pt>
              </c:strCache>
            </c:strRef>
          </c:cat>
          <c:val>
            <c:numRef>
              <c:f>Sheet2!$B$4:$B$9</c:f>
              <c:numCache>
                <c:formatCode>General</c:formatCode>
                <c:ptCount val="5"/>
                <c:pt idx="0">
                  <c:v>4500</c:v>
                </c:pt>
                <c:pt idx="1">
                  <c:v>3000</c:v>
                </c:pt>
                <c:pt idx="2">
                  <c:v>3000</c:v>
                </c:pt>
                <c:pt idx="3">
                  <c:v>6000</c:v>
                </c:pt>
                <c:pt idx="4">
                  <c:v>3000</c:v>
                </c:pt>
              </c:numCache>
            </c:numRef>
          </c:val>
          <c:extLst>
            <c:ext xmlns:c16="http://schemas.microsoft.com/office/drawing/2014/chart" uri="{C3380CC4-5D6E-409C-BE32-E72D297353CC}">
              <c16:uniqueId val="{00000000-DBEC-4F5C-849D-57328C71472D}"/>
            </c:ext>
          </c:extLst>
        </c:ser>
        <c:dLbls>
          <c:dLblPos val="outEnd"/>
          <c:showLegendKey val="0"/>
          <c:showVal val="1"/>
          <c:showCatName val="0"/>
          <c:showSerName val="0"/>
          <c:showPercent val="0"/>
          <c:showBubbleSize val="0"/>
        </c:dLbls>
        <c:gapWidth val="219"/>
        <c:overlap val="-27"/>
        <c:axId val="827262175"/>
        <c:axId val="827258335"/>
      </c:barChart>
      <c:catAx>
        <c:axId val="82726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258335"/>
        <c:crosses val="autoZero"/>
        <c:auto val="1"/>
        <c:lblAlgn val="ctr"/>
        <c:lblOffset val="100"/>
        <c:noMultiLvlLbl val="0"/>
      </c:catAx>
      <c:valAx>
        <c:axId val="827258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26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week 4 (version 2).xlsx]Sheet3!PivotTable8</c:name>
    <c:fmtId val="1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Sheet3!$B$3:$B$4</c:f>
              <c:strCache>
                <c:ptCount val="1"/>
                <c:pt idx="0">
                  <c:v>East</c:v>
                </c:pt>
              </c:strCache>
            </c:strRef>
          </c:tx>
          <c:spPr>
            <a:solidFill>
              <a:schemeClr val="accent1"/>
            </a:solidFill>
            <a:ln>
              <a:noFill/>
            </a:ln>
            <a:effectLst/>
            <a:sp3d/>
          </c:spPr>
          <c:invertIfNegative val="0"/>
          <c:cat>
            <c:strRef>
              <c:f>Sheet3!$A$5:$A$7</c:f>
              <c:strCache>
                <c:ptCount val="2"/>
                <c:pt idx="0">
                  <c:v>Electronics</c:v>
                </c:pt>
                <c:pt idx="1">
                  <c:v>Furniture</c:v>
                </c:pt>
              </c:strCache>
            </c:strRef>
          </c:cat>
          <c:val>
            <c:numRef>
              <c:f>Sheet3!$B$5:$B$7</c:f>
              <c:numCache>
                <c:formatCode>General</c:formatCode>
                <c:ptCount val="2"/>
                <c:pt idx="1">
                  <c:v>1000</c:v>
                </c:pt>
              </c:numCache>
            </c:numRef>
          </c:val>
          <c:extLst>
            <c:ext xmlns:c16="http://schemas.microsoft.com/office/drawing/2014/chart" uri="{C3380CC4-5D6E-409C-BE32-E72D297353CC}">
              <c16:uniqueId val="{00000000-BEC7-4055-B0D0-BF3A522B36DF}"/>
            </c:ext>
          </c:extLst>
        </c:ser>
        <c:ser>
          <c:idx val="1"/>
          <c:order val="1"/>
          <c:tx>
            <c:strRef>
              <c:f>Sheet3!$C$3:$C$4</c:f>
              <c:strCache>
                <c:ptCount val="1"/>
                <c:pt idx="0">
                  <c:v>North</c:v>
                </c:pt>
              </c:strCache>
            </c:strRef>
          </c:tx>
          <c:spPr>
            <a:solidFill>
              <a:schemeClr val="accent2"/>
            </a:solidFill>
            <a:ln>
              <a:noFill/>
            </a:ln>
            <a:effectLst/>
            <a:sp3d/>
          </c:spPr>
          <c:invertIfNegative val="0"/>
          <c:cat>
            <c:strRef>
              <c:f>Sheet3!$A$5:$A$7</c:f>
              <c:strCache>
                <c:ptCount val="2"/>
                <c:pt idx="0">
                  <c:v>Electronics</c:v>
                </c:pt>
                <c:pt idx="1">
                  <c:v>Furniture</c:v>
                </c:pt>
              </c:strCache>
            </c:strRef>
          </c:cat>
          <c:val>
            <c:numRef>
              <c:f>Sheet3!$C$5:$C$7</c:f>
              <c:numCache>
                <c:formatCode>General</c:formatCode>
                <c:ptCount val="2"/>
                <c:pt idx="0">
                  <c:v>2000</c:v>
                </c:pt>
              </c:numCache>
            </c:numRef>
          </c:val>
          <c:extLst>
            <c:ext xmlns:c16="http://schemas.microsoft.com/office/drawing/2014/chart" uri="{C3380CC4-5D6E-409C-BE32-E72D297353CC}">
              <c16:uniqueId val="{00000001-BEC7-4055-B0D0-BF3A522B36DF}"/>
            </c:ext>
          </c:extLst>
        </c:ser>
        <c:ser>
          <c:idx val="2"/>
          <c:order val="2"/>
          <c:tx>
            <c:strRef>
              <c:f>Sheet3!$D$3:$D$4</c:f>
              <c:strCache>
                <c:ptCount val="1"/>
                <c:pt idx="0">
                  <c:v>South</c:v>
                </c:pt>
              </c:strCache>
            </c:strRef>
          </c:tx>
          <c:spPr>
            <a:solidFill>
              <a:schemeClr val="accent3"/>
            </a:solidFill>
            <a:ln>
              <a:noFill/>
            </a:ln>
            <a:effectLst/>
            <a:sp3d/>
          </c:spPr>
          <c:invertIfNegative val="0"/>
          <c:cat>
            <c:strRef>
              <c:f>Sheet3!$A$5:$A$7</c:f>
              <c:strCache>
                <c:ptCount val="2"/>
                <c:pt idx="0">
                  <c:v>Electronics</c:v>
                </c:pt>
                <c:pt idx="1">
                  <c:v>Furniture</c:v>
                </c:pt>
              </c:strCache>
            </c:strRef>
          </c:cat>
          <c:val>
            <c:numRef>
              <c:f>Sheet3!$D$5:$D$7</c:f>
              <c:numCache>
                <c:formatCode>General</c:formatCode>
                <c:ptCount val="2"/>
                <c:pt idx="0">
                  <c:v>1500</c:v>
                </c:pt>
              </c:numCache>
            </c:numRef>
          </c:val>
          <c:extLst>
            <c:ext xmlns:c16="http://schemas.microsoft.com/office/drawing/2014/chart" uri="{C3380CC4-5D6E-409C-BE32-E72D297353CC}">
              <c16:uniqueId val="{00000002-BEC7-4055-B0D0-BF3A522B36DF}"/>
            </c:ext>
          </c:extLst>
        </c:ser>
        <c:ser>
          <c:idx val="3"/>
          <c:order val="3"/>
          <c:tx>
            <c:strRef>
              <c:f>Sheet3!$E$3:$E$4</c:f>
              <c:strCache>
                <c:ptCount val="1"/>
                <c:pt idx="0">
                  <c:v>West</c:v>
                </c:pt>
              </c:strCache>
            </c:strRef>
          </c:tx>
          <c:spPr>
            <a:solidFill>
              <a:schemeClr val="accent4"/>
            </a:solidFill>
            <a:ln>
              <a:noFill/>
            </a:ln>
            <a:effectLst/>
            <a:sp3d/>
          </c:spPr>
          <c:invertIfNegative val="0"/>
          <c:cat>
            <c:strRef>
              <c:f>Sheet3!$A$5:$A$7</c:f>
              <c:strCache>
                <c:ptCount val="2"/>
                <c:pt idx="0">
                  <c:v>Electronics</c:v>
                </c:pt>
                <c:pt idx="1">
                  <c:v>Furniture</c:v>
                </c:pt>
              </c:strCache>
            </c:strRef>
          </c:cat>
          <c:val>
            <c:numRef>
              <c:f>Sheet3!$E$5:$E$7</c:f>
              <c:numCache>
                <c:formatCode>General</c:formatCode>
                <c:ptCount val="2"/>
                <c:pt idx="1">
                  <c:v>4500</c:v>
                </c:pt>
              </c:numCache>
            </c:numRef>
          </c:val>
          <c:extLst>
            <c:ext xmlns:c16="http://schemas.microsoft.com/office/drawing/2014/chart" uri="{C3380CC4-5D6E-409C-BE32-E72D297353CC}">
              <c16:uniqueId val="{00000003-BEC7-4055-B0D0-BF3A522B36DF}"/>
            </c:ext>
          </c:extLst>
        </c:ser>
        <c:dLbls>
          <c:showLegendKey val="0"/>
          <c:showVal val="0"/>
          <c:showCatName val="0"/>
          <c:showSerName val="0"/>
          <c:showPercent val="0"/>
          <c:showBubbleSize val="0"/>
        </c:dLbls>
        <c:gapWidth val="150"/>
        <c:shape val="box"/>
        <c:axId val="1511045007"/>
        <c:axId val="1511056047"/>
        <c:axId val="0"/>
      </c:bar3DChart>
      <c:catAx>
        <c:axId val="1511045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056047"/>
        <c:crosses val="autoZero"/>
        <c:auto val="1"/>
        <c:lblAlgn val="ctr"/>
        <c:lblOffset val="100"/>
        <c:noMultiLvlLbl val="0"/>
      </c:catAx>
      <c:valAx>
        <c:axId val="151105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04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396240</xdr:colOff>
      <xdr:row>0</xdr:row>
      <xdr:rowOff>144780</xdr:rowOff>
    </xdr:from>
    <xdr:to>
      <xdr:col>9</xdr:col>
      <xdr:colOff>495300</xdr:colOff>
      <xdr:row>17</xdr:row>
      <xdr:rowOff>80010</xdr:rowOff>
    </xdr:to>
    <xdr:graphicFrame macro="">
      <xdr:nvGraphicFramePr>
        <xdr:cNvPr id="2" name="Chart 1">
          <a:extLst>
            <a:ext uri="{FF2B5EF4-FFF2-40B4-BE49-F238E27FC236}">
              <a16:creationId xmlns:a16="http://schemas.microsoft.com/office/drawing/2014/main" id="{6287DCF3-1BF3-7562-3DD6-29F289C32B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129540</xdr:colOff>
      <xdr:row>5</xdr:row>
      <xdr:rowOff>76200</xdr:rowOff>
    </xdr:from>
    <xdr:to>
      <xdr:col>16</xdr:col>
      <xdr:colOff>419100</xdr:colOff>
      <xdr:row>12</xdr:row>
      <xdr:rowOff>167640</xdr:rowOff>
    </xdr:to>
    <mc:AlternateContent xmlns:mc="http://schemas.openxmlformats.org/markup-compatibility/2006" xmlns:tsle="http://schemas.microsoft.com/office/drawing/2012/timeslicer">
      <mc:Choice Requires="tsle">
        <xdr:graphicFrame macro="">
          <xdr:nvGraphicFramePr>
            <xdr:cNvPr id="3" name="OrderDate">
              <a:extLst>
                <a:ext uri="{FF2B5EF4-FFF2-40B4-BE49-F238E27FC236}">
                  <a16:creationId xmlns:a16="http://schemas.microsoft.com/office/drawing/2014/main" id="{89CA221B-D17C-6170-276A-A6481BE421AA}"/>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7795260" y="9906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342900</xdr:colOff>
      <xdr:row>5</xdr:row>
      <xdr:rowOff>41910</xdr:rowOff>
    </xdr:from>
    <xdr:to>
      <xdr:col>11</xdr:col>
      <xdr:colOff>38100</xdr:colOff>
      <xdr:row>20</xdr:row>
      <xdr:rowOff>41910</xdr:rowOff>
    </xdr:to>
    <xdr:graphicFrame macro="">
      <xdr:nvGraphicFramePr>
        <xdr:cNvPr id="2" name="Chart 1">
          <a:extLst>
            <a:ext uri="{FF2B5EF4-FFF2-40B4-BE49-F238E27FC236}">
              <a16:creationId xmlns:a16="http://schemas.microsoft.com/office/drawing/2014/main" id="{702E254D-08B4-C55E-38E1-2B4808ADE6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45720</xdr:colOff>
      <xdr:row>11</xdr:row>
      <xdr:rowOff>114300</xdr:rowOff>
    </xdr:from>
    <xdr:to>
      <xdr:col>1</xdr:col>
      <xdr:colOff>1013460</xdr:colOff>
      <xdr:row>25</xdr:row>
      <xdr:rowOff>20955</xdr:rowOff>
    </xdr:to>
    <mc:AlternateContent xmlns:mc="http://schemas.openxmlformats.org/markup-compatibility/2006" xmlns:a14="http://schemas.microsoft.com/office/drawing/2010/main">
      <mc:Choice Requires="a14">
        <xdr:graphicFrame macro="">
          <xdr:nvGraphicFramePr>
            <xdr:cNvPr id="3" name="Product Name">
              <a:extLst>
                <a:ext uri="{FF2B5EF4-FFF2-40B4-BE49-F238E27FC236}">
                  <a16:creationId xmlns:a16="http://schemas.microsoft.com/office/drawing/2014/main" id="{7E159ECF-AE50-95CE-4CB7-286B7AC9170A}"/>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45720" y="2125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274320</xdr:colOff>
      <xdr:row>1</xdr:row>
      <xdr:rowOff>95250</xdr:rowOff>
    </xdr:from>
    <xdr:to>
      <xdr:col>14</xdr:col>
      <xdr:colOff>579120</xdr:colOff>
      <xdr:row>16</xdr:row>
      <xdr:rowOff>95250</xdr:rowOff>
    </xdr:to>
    <xdr:graphicFrame macro="">
      <xdr:nvGraphicFramePr>
        <xdr:cNvPr id="3" name="Chart 2">
          <a:extLst>
            <a:ext uri="{FF2B5EF4-FFF2-40B4-BE49-F238E27FC236}">
              <a16:creationId xmlns:a16="http://schemas.microsoft.com/office/drawing/2014/main" id="{A26CB564-813E-D8D2-8240-C557F9ECE4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160020</xdr:colOff>
      <xdr:row>8</xdr:row>
      <xdr:rowOff>99061</xdr:rowOff>
    </xdr:from>
    <xdr:to>
      <xdr:col>1</xdr:col>
      <xdr:colOff>670560</xdr:colOff>
      <xdr:row>15</xdr:row>
      <xdr:rowOff>137161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A3C0A7DC-E060-E407-AB9B-4B230586670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0020" y="1562101"/>
              <a:ext cx="182880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304800</xdr:colOff>
      <xdr:row>6</xdr:row>
      <xdr:rowOff>41910</xdr:rowOff>
    </xdr:from>
    <xdr:to>
      <xdr:col>14</xdr:col>
      <xdr:colOff>0</xdr:colOff>
      <xdr:row>21</xdr:row>
      <xdr:rowOff>41910</xdr:rowOff>
    </xdr:to>
    <xdr:graphicFrame macro="">
      <xdr:nvGraphicFramePr>
        <xdr:cNvPr id="2" name="Chart 1">
          <a:extLst>
            <a:ext uri="{FF2B5EF4-FFF2-40B4-BE49-F238E27FC236}">
              <a16:creationId xmlns:a16="http://schemas.microsoft.com/office/drawing/2014/main" id="{812560BE-8E4E-9796-271E-E846506EEF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14</xdr:row>
      <xdr:rowOff>76200</xdr:rowOff>
    </xdr:from>
    <xdr:to>
      <xdr:col>4</xdr:col>
      <xdr:colOff>60960</xdr:colOff>
      <xdr:row>32</xdr:row>
      <xdr:rowOff>144780</xdr:rowOff>
    </xdr:to>
    <xdr:graphicFrame macro="">
      <xdr:nvGraphicFramePr>
        <xdr:cNvPr id="2" name="Chart 1">
          <a:extLst>
            <a:ext uri="{FF2B5EF4-FFF2-40B4-BE49-F238E27FC236}">
              <a16:creationId xmlns:a16="http://schemas.microsoft.com/office/drawing/2014/main" id="{B95C05F1-DA0B-4C6C-98AF-BFDB5DEB4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14</xdr:row>
      <xdr:rowOff>83820</xdr:rowOff>
    </xdr:from>
    <xdr:to>
      <xdr:col>7</xdr:col>
      <xdr:colOff>167640</xdr:colOff>
      <xdr:row>32</xdr:row>
      <xdr:rowOff>83820</xdr:rowOff>
    </xdr:to>
    <xdr:graphicFrame macro="">
      <xdr:nvGraphicFramePr>
        <xdr:cNvPr id="3" name="Chart 2">
          <a:extLst>
            <a:ext uri="{FF2B5EF4-FFF2-40B4-BE49-F238E27FC236}">
              <a16:creationId xmlns:a16="http://schemas.microsoft.com/office/drawing/2014/main" id="{E21B0CF7-6C45-4FB8-9C0D-D41242678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45720</xdr:colOff>
      <xdr:row>14</xdr:row>
      <xdr:rowOff>91440</xdr:rowOff>
    </xdr:from>
    <xdr:to>
      <xdr:col>14</xdr:col>
      <xdr:colOff>91440</xdr:colOff>
      <xdr:row>32</xdr:row>
      <xdr:rowOff>114300</xdr:rowOff>
    </xdr:to>
    <xdr:graphicFrame macro="">
      <xdr:nvGraphicFramePr>
        <xdr:cNvPr id="4" name="Chart 3">
          <a:extLst>
            <a:ext uri="{FF2B5EF4-FFF2-40B4-BE49-F238E27FC236}">
              <a16:creationId xmlns:a16="http://schemas.microsoft.com/office/drawing/2014/main" id="{BA9C2CB4-90A1-466C-A67E-BB483828D8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0</xdr:rowOff>
    </xdr:from>
    <xdr:to>
      <xdr:col>1</xdr:col>
      <xdr:colOff>15240</xdr:colOff>
      <xdr:row>9</xdr:row>
      <xdr:rowOff>91440</xdr:rowOff>
    </xdr:to>
    <mc:AlternateContent xmlns:mc="http://schemas.openxmlformats.org/markup-compatibility/2006" xmlns:tsle="http://schemas.microsoft.com/office/drawing/2012/timeslicer">
      <mc:Choice Requires="tsle">
        <xdr:graphicFrame macro="">
          <xdr:nvGraphicFramePr>
            <xdr:cNvPr id="5" name="OrderDate 1">
              <a:extLst>
                <a:ext uri="{FF2B5EF4-FFF2-40B4-BE49-F238E27FC236}">
                  <a16:creationId xmlns:a16="http://schemas.microsoft.com/office/drawing/2014/main" id="{0A500A9A-2863-40C2-8902-DF831A739943}"/>
                </a:ext>
              </a:extLst>
            </xdr:cNvPr>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0" y="1112520"/>
              <a:ext cx="26365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11</xdr:row>
      <xdr:rowOff>38100</xdr:rowOff>
    </xdr:from>
    <xdr:to>
      <xdr:col>1</xdr:col>
      <xdr:colOff>30480</xdr:colOff>
      <xdr:row>24</xdr:row>
      <xdr:rowOff>127635</xdr:rowOff>
    </xdr:to>
    <mc:AlternateContent xmlns:mc="http://schemas.openxmlformats.org/markup-compatibility/2006" xmlns:a14="http://schemas.microsoft.com/office/drawing/2010/main">
      <mc:Choice Requires="a14">
        <xdr:graphicFrame macro="">
          <xdr:nvGraphicFramePr>
            <xdr:cNvPr id="6" name="Product Name 1">
              <a:extLst>
                <a:ext uri="{FF2B5EF4-FFF2-40B4-BE49-F238E27FC236}">
                  <a16:creationId xmlns:a16="http://schemas.microsoft.com/office/drawing/2014/main" id="{B06B58A2-12E8-40CD-AEA8-0F31A46C08CC}"/>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0" y="2796540"/>
              <a:ext cx="265176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53340</xdr:rowOff>
    </xdr:from>
    <xdr:to>
      <xdr:col>1</xdr:col>
      <xdr:colOff>45720</xdr:colOff>
      <xdr:row>34</xdr:row>
      <xdr:rowOff>160020</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8AFDF687-934E-4694-8542-0CE58DE70AF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5554980"/>
              <a:ext cx="266700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0.761271412041" createdVersion="8" refreshedVersion="8" minRefreshableVersion="3" recordCount="10" xr:uid="{9F51AC79-DF19-4391-B179-397395FDD9CA}">
  <cacheSource type="worksheet">
    <worksheetSource name="Table1"/>
  </cacheSource>
  <cacheFields count="7">
    <cacheField name="OrderID" numFmtId="0">
      <sharedItems/>
    </cacheField>
    <cacheField name="OrderDate" numFmtId="164">
      <sharedItems containsSemiMixedTypes="0" containsNonDate="0" containsDate="1" containsString="0" minDate="2025-01-05T00:00:00" maxDate="2025-07-15T00:00:00"/>
    </cacheField>
    <cacheField name="Product ID" numFmtId="0">
      <sharedItems containsSemiMixedTypes="0" containsString="0" containsNumber="1" containsInteger="1" minValue="101" maxValue="110"/>
    </cacheField>
    <cacheField name="Quantity" numFmtId="0">
      <sharedItems containsSemiMixedTypes="0" containsString="0" containsNumber="1" containsInteger="1" minValue="1" maxValue="4"/>
    </cacheField>
    <cacheField name="Sales Amount" numFmtId="0">
      <sharedItems containsSemiMixedTypes="0" containsString="0" containsNumber="1" containsInteger="1" minValue="1000" maxValue="6000"/>
    </cacheField>
    <cacheField name="Monthly Sales" numFmtId="0">
      <sharedItems count="7">
        <s v="Jan-2025"/>
        <s v="Feb-2025"/>
        <s v="Mar-2025"/>
        <s v="Apr-2025"/>
        <s v="May-2025"/>
        <s v="Jun-2025"/>
        <s v="Jul-2025"/>
      </sharedItems>
    </cacheField>
    <cacheField name="Week Da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0.766929166668" backgroundQuery="1" createdVersion="8" refreshedVersion="8" minRefreshableVersion="3" recordCount="0" supportSubquery="1" supportAdvancedDrill="1" xr:uid="{2E7A33FA-EA4D-4997-82AD-8D67073F2B7D}">
  <cacheSource type="external" connectionId="1"/>
  <cacheFields count="3">
    <cacheField name="[Table2].[Category].[Category]" caption="Category" numFmtId="0" hierarchy="9" level="1">
      <sharedItems count="2">
        <s v="Electronics"/>
        <s v="Furniture"/>
      </sharedItems>
    </cacheField>
    <cacheField name="[Table3].[Region Name].[Region Name]" caption="Region Name" numFmtId="0" hierarchy="11" level="1">
      <sharedItems containsBlank="1" count="5">
        <s v="East"/>
        <s v="North"/>
        <s v="South"/>
        <s v="West"/>
        <m u="1"/>
      </sharedItems>
    </cacheField>
    <cacheField name="[Measures].[Sum of Sales Amount]" caption="Sum of Sales Amount" numFmtId="0" hierarchy="16" level="32767"/>
  </cacheFields>
  <cacheHierarchies count="1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Product ID]" caption="Product ID" attribute="1" defaultMemberUniqueName="[Table1].[Product ID].[All]" allUniqueName="[Table1].[Product ID].[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Monthly Sales]" caption="Monthly Sales" attribute="1" defaultMemberUniqueName="[Table1].[Monthly Sales].[All]" allUniqueName="[Table1].[Monthly Sales].[All]" dimensionUniqueName="[Table1]" displayFolder="" count="0" memberValueDatatype="130" unbalanced="0"/>
    <cacheHierarchy uniqueName="[Table1].[Week Day]" caption="Week Day" attribute="1" defaultMemberUniqueName="[Table1].[Week Day].[All]" allUniqueName="[Table1].[Week Day].[All]" dimensionUniqueName="[Table1]" displayFolder="" count="0" memberValueDatatype="130" unbalanced="0"/>
    <cacheHierarchy uniqueName="[Table2].[Product ID]" caption="Product ID" attribute="1" defaultMemberUniqueName="[Table2].[Product ID].[All]" allUniqueName="[Table2].[Product ID].[All]" dimensionUniqueName="[Table2]" displayFolder="" count="0" memberValueDatatype="2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0"/>
      </fieldsUsage>
    </cacheHierarchy>
    <cacheHierarchy uniqueName="[Table3].[Product ID]" caption="Product ID" attribute="1" defaultMemberUniqueName="[Table3].[Product ID].[All]" allUniqueName="[Table3].[Product ID].[All]" dimensionUniqueName="[Table3]" displayFolder="" count="0" memberValueDatatype="20" unbalanced="0"/>
    <cacheHierarchy uniqueName="[Table3].[Region Name]" caption="Region Name" attribute="1" defaultMemberUniqueName="[Table3].[Region Name].[All]" allUniqueName="[Table3].[Region Name].[All]" dimensionUniqueName="[Table3]"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2"/>
      </fieldsUsage>
      <extLst>
        <ext xmlns:x15="http://schemas.microsoft.com/office/spreadsheetml/2010/11/main" uri="{B97F6D7D-B522-45F9-BDA1-12C45D357490}">
          <x15:cacheHierarchy aggregatedColumn="4"/>
        </ext>
      </extLst>
    </cacheHierarchy>
    <cacheHierarchy uniqueName="[Measures].[Max of Sales Amount]" caption="Max of Sales Amount" measure="1" displayFolder="" measureGroup="Table1" count="0" hidden="1">
      <extLst>
        <ext xmlns:x15="http://schemas.microsoft.com/office/spreadsheetml/2010/11/main" uri="{B97F6D7D-B522-45F9-BDA1-12C45D357490}">
          <x15:cacheHierarchy aggregatedColumn="4"/>
        </ext>
      </extLst>
    </cacheHierarchy>
    <cacheHierarchy uniqueName="[Measures].[Sum of Product ID]" caption="Sum of Product ID" measure="1" displayFolder="" measureGroup="Table2"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0.761126273152" backgroundQuery="1" createdVersion="8" refreshedVersion="8" minRefreshableVersion="3" recordCount="0" supportSubquery="1" supportAdvancedDrill="1" xr:uid="{7E0EC1C2-08F1-4B90-8F27-1015DBA98E33}">
  <cacheSource type="external" connectionId="1"/>
  <cacheFields count="2">
    <cacheField name="[Table2].[Product Name].[Product Name]" caption="Product Name" numFmtId="0" hierarchy="8" level="1">
      <sharedItems count="5">
        <s v="Chair"/>
        <s v="Dining Table"/>
        <s v="Mobile Phone"/>
        <s v="Tablet"/>
        <s v="TV"/>
      </sharedItems>
    </cacheField>
    <cacheField name="[Measures].[Sum of Sales Amount]" caption="Sum of Sales Amount" numFmtId="0" hierarchy="16" level="32767"/>
  </cacheFields>
  <cacheHierarchies count="1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Product ID]" caption="Product ID" attribute="1" defaultMemberUniqueName="[Table1].[Product ID].[All]" allUniqueName="[Table1].[Product ID].[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Monthly Sales]" caption="Monthly Sales" attribute="1" defaultMemberUniqueName="[Table1].[Monthly Sales].[All]" allUniqueName="[Table1].[Monthly Sales].[All]" dimensionUniqueName="[Table1]" displayFolder="" count="0" memberValueDatatype="130" unbalanced="0"/>
    <cacheHierarchy uniqueName="[Table1].[Week Day]" caption="Week Day" attribute="1" defaultMemberUniqueName="[Table1].[Week Day].[All]" allUniqueName="[Table1].[Week Day].[All]" dimensionUniqueName="[Table1]" displayFolder="" count="0" memberValueDatatype="130" unbalanced="0"/>
    <cacheHierarchy uniqueName="[Table2].[Product ID]" caption="Product ID" attribute="1" defaultMemberUniqueName="[Table2].[Product ID].[All]" allUniqueName="[Table2].[Product ID].[All]" dimensionUniqueName="[Table2]" displayFolder="" count="0" memberValueDatatype="20" unbalanced="0"/>
    <cacheHierarchy uniqueName="[Table2].[Product Name]" caption="Product Name" attribute="1" defaultMemberUniqueName="[Table2].[Product Name].[All]" allUniqueName="[Table2].[Product Name].[All]" dimensionUniqueName="[Table2]" displayFolder="" count="2" memberValueDatatype="130" unbalanced="0">
      <fieldsUsage count="2">
        <fieldUsage x="-1"/>
        <fieldUsage x="0"/>
      </fieldsUsage>
    </cacheHierarchy>
    <cacheHierarchy uniqueName="[Table2].[Category]" caption="Category" attribute="1" defaultMemberUniqueName="[Table2].[Category].[All]" allUniqueName="[Table2].[Category].[All]" dimensionUniqueName="[Table2]" displayFolder="" count="0" memberValueDatatype="130" unbalanced="0"/>
    <cacheHierarchy uniqueName="[Table3].[Product ID]" caption="Product ID" attribute="1" defaultMemberUniqueName="[Table3].[Product ID].[All]" allUniqueName="[Table3].[Product ID].[All]" dimensionUniqueName="[Table3]" displayFolder="" count="0" memberValueDatatype="20" unbalanced="0"/>
    <cacheHierarchy uniqueName="[Table3].[Region Name]" caption="Region Name" attribute="1" defaultMemberUniqueName="[Table3].[Region Name].[All]" allUniqueName="[Table3].[Region Name].[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Max of Sales Amount]" caption="Max of Sales Amount" measure="1" displayFolder="" measureGroup="Table1" count="0" hidden="1">
      <extLst>
        <ext xmlns:x15="http://schemas.microsoft.com/office/spreadsheetml/2010/11/main" uri="{B97F6D7D-B522-45F9-BDA1-12C45D357490}">
          <x15:cacheHierarchy aggregatedColumn="4"/>
        </ext>
      </extLst>
    </cacheHierarchy>
    <cacheHierarchy uniqueName="[Measures].[Sum of Product ID]" caption="Sum of Product ID" measure="1" displayFolder="" measureGroup="Table2"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0.766929166668" backgroundQuery="1" createdVersion="8" refreshedVersion="8" minRefreshableVersion="3" recordCount="0" supportSubquery="1" supportAdvancedDrill="1" xr:uid="{4BFCA118-5C28-4A9B-8D12-AF482FD54BAA}">
  <cacheSource type="external" connectionId="1"/>
  <cacheFields count="3">
    <cacheField name="[Table2].[Category].[Category]" caption="Category" numFmtId="0" hierarchy="9" level="1">
      <sharedItems count="2">
        <s v="Electronics"/>
        <s v="Furniture"/>
      </sharedItems>
    </cacheField>
    <cacheField name="[Table3].[Region Name].[Region Name]" caption="Region Name" numFmtId="0" hierarchy="11" level="1">
      <sharedItems containsBlank="1" count="5">
        <s v="East"/>
        <s v="North"/>
        <s v="South"/>
        <s v="West"/>
        <m u="1"/>
      </sharedItems>
    </cacheField>
    <cacheField name="[Measures].[Sum of Sales Amount]" caption="Sum of Sales Amount" numFmtId="0" hierarchy="16" level="32767"/>
  </cacheFields>
  <cacheHierarchies count="1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Product ID]" caption="Product ID" attribute="1" defaultMemberUniqueName="[Table1].[Product ID].[All]" allUniqueName="[Table1].[Product ID].[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Monthly Sales]" caption="Monthly Sales" attribute="1" defaultMemberUniqueName="[Table1].[Monthly Sales].[All]" allUniqueName="[Table1].[Monthly Sales].[All]" dimensionUniqueName="[Table1]" displayFolder="" count="0" memberValueDatatype="130" unbalanced="0"/>
    <cacheHierarchy uniqueName="[Table1].[Week Day]" caption="Week Day" attribute="1" defaultMemberUniqueName="[Table1].[Week Day].[All]" allUniqueName="[Table1].[Week Day].[All]" dimensionUniqueName="[Table1]" displayFolder="" count="0" memberValueDatatype="130" unbalanced="0"/>
    <cacheHierarchy uniqueName="[Table2].[Product ID]" caption="Product ID" attribute="1" defaultMemberUniqueName="[Table2].[Product ID].[All]" allUniqueName="[Table2].[Product ID].[All]" dimensionUniqueName="[Table2]" displayFolder="" count="0" memberValueDatatype="2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0"/>
      </fieldsUsage>
    </cacheHierarchy>
    <cacheHierarchy uniqueName="[Table3].[Product ID]" caption="Product ID" attribute="1" defaultMemberUniqueName="[Table3].[Product ID].[All]" allUniqueName="[Table3].[Product ID].[All]" dimensionUniqueName="[Table3]" displayFolder="" count="0" memberValueDatatype="20" unbalanced="0"/>
    <cacheHierarchy uniqueName="[Table3].[Region Name]" caption="Region Name" attribute="1" defaultMemberUniqueName="[Table3].[Region Name].[All]" allUniqueName="[Table3].[Region Name].[All]" dimensionUniqueName="[Table3]"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2"/>
      </fieldsUsage>
      <extLst>
        <ext xmlns:x15="http://schemas.microsoft.com/office/spreadsheetml/2010/11/main" uri="{B97F6D7D-B522-45F9-BDA1-12C45D357490}">
          <x15:cacheHierarchy aggregatedColumn="4"/>
        </ext>
      </extLst>
    </cacheHierarchy>
    <cacheHierarchy uniqueName="[Measures].[Max of Sales Amount]" caption="Max of Sales Amount" measure="1" displayFolder="" measureGroup="Table1" count="0" hidden="1">
      <extLst>
        <ext xmlns:x15="http://schemas.microsoft.com/office/spreadsheetml/2010/11/main" uri="{B97F6D7D-B522-45F9-BDA1-12C45D357490}">
          <x15:cacheHierarchy aggregatedColumn="4"/>
        </ext>
      </extLst>
    </cacheHierarchy>
    <cacheHierarchy uniqueName="[Measures].[Sum of Product ID]" caption="Sum of Product ID" measure="1" displayFolder="" measureGroup="Table2"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0.829273379626" backgroundQuery="1" createdVersion="8" refreshedVersion="8" minRefreshableVersion="3" recordCount="0" supportSubquery="1" supportAdvancedDrill="1" xr:uid="{88C3DC96-A481-4510-9D65-58AD58D7B103}">
  <cacheSource type="external" connectionId="1"/>
  <cacheFields count="2">
    <cacheField name="[Table2].[Product Name].[Product Name]" caption="Product Name" numFmtId="0" hierarchy="8" level="1">
      <sharedItems count="5">
        <s v="Chair"/>
        <s v="Dining Table"/>
        <s v="Mobile Phone"/>
        <s v="Tablet"/>
        <s v="TV"/>
      </sharedItems>
    </cacheField>
    <cacheField name="[Measures].[Sum of Sales Amount]" caption="Sum of Sales Amount" numFmtId="0" hierarchy="16" level="32767"/>
  </cacheFields>
  <cacheHierarchies count="19">
    <cacheHierarchy uniqueName="[Table1].[OrderID]" caption="OrderID" attribute="1" defaultMemberUniqueName="[Table1].[OrderID].[All]" allUniqueName="[Table1].[OrderID].[All]" dimensionUniqueName="[Table1]" displayFolder="" count="2" memberValueDatatype="130" unbalanced="0"/>
    <cacheHierarchy uniqueName="[Table1].[OrderDate]" caption="OrderDate" attribute="1" time="1" defaultMemberUniqueName="[Table1].[OrderDate].[All]" allUniqueName="[Table1].[OrderDate].[All]" dimensionUniqueName="[Table1]" displayFolder="" count="2" memberValueDatatype="7" unbalanced="0"/>
    <cacheHierarchy uniqueName="[Table1].[Product ID]" caption="Product ID" attribute="1" defaultMemberUniqueName="[Table1].[Product ID].[All]" allUniqueName="[Table1].[Product ID].[All]" dimensionUniqueName="[Table1]" displayFolder="" count="2" memberValueDatatype="20" unbalanced="0"/>
    <cacheHierarchy uniqueName="[Table1].[Quantity]" caption="Quantity" attribute="1" defaultMemberUniqueName="[Table1].[Quantity].[All]" allUniqueName="[Table1].[Quantity].[All]" dimensionUniqueName="[Table1]" displayFolder="" count="2" memberValueDatatype="20" unbalanced="0"/>
    <cacheHierarchy uniqueName="[Table1].[Sales Amount]" caption="Sales Amount" attribute="1" defaultMemberUniqueName="[Table1].[Sales Amount].[All]" allUniqueName="[Table1].[Sales Amount].[All]" dimensionUniqueName="[Table1]" displayFolder="" count="2" memberValueDatatype="20" unbalanced="0"/>
    <cacheHierarchy uniqueName="[Table1].[Monthly Sales]" caption="Monthly Sales" attribute="1" defaultMemberUniqueName="[Table1].[Monthly Sales].[All]" allUniqueName="[Table1].[Monthly Sales].[All]" dimensionUniqueName="[Table1]" displayFolder="" count="2" memberValueDatatype="130" unbalanced="0"/>
    <cacheHierarchy uniqueName="[Table1].[Week Day]" caption="Week Day" attribute="1" defaultMemberUniqueName="[Table1].[Week Day].[All]" allUniqueName="[Table1].[Week Day].[All]" dimensionUniqueName="[Table1]" displayFolder="" count="2" memberValueDatatype="130" unbalanced="0"/>
    <cacheHierarchy uniqueName="[Table2].[Product ID]" caption="Product ID" attribute="1" defaultMemberUniqueName="[Table2].[Product ID].[All]" allUniqueName="[Table2].[Product ID].[All]" dimensionUniqueName="[Table2]" displayFolder="" count="2" memberValueDatatype="20" unbalanced="0"/>
    <cacheHierarchy uniqueName="[Table2].[Product Name]" caption="Product Name" attribute="1" defaultMemberUniqueName="[Table2].[Product Name].[All]" allUniqueName="[Table2].[Product Name].[All]" dimensionUniqueName="[Table2]" displayFolder="" count="2" memberValueDatatype="130" unbalanced="0">
      <fieldsUsage count="2">
        <fieldUsage x="-1"/>
        <fieldUsage x="0"/>
      </fieldsUsage>
    </cacheHierarchy>
    <cacheHierarchy uniqueName="[Table2].[Category]" caption="Category" attribute="1" defaultMemberUniqueName="[Table2].[Category].[All]" allUniqueName="[Table2].[Category].[All]" dimensionUniqueName="[Table2]" displayFolder="" count="2" memberValueDatatype="130" unbalanced="0"/>
    <cacheHierarchy uniqueName="[Table3].[Product ID]" caption="Product ID" attribute="1" defaultMemberUniqueName="[Table3].[Product ID].[All]" allUniqueName="[Table3].[Product ID].[All]" dimensionUniqueName="[Table3]" displayFolder="" count="2" memberValueDatatype="20" unbalanced="0"/>
    <cacheHierarchy uniqueName="[Table3].[Region Name]" caption="Region Name" attribute="1" defaultMemberUniqueName="[Table3].[Region Name].[All]" allUniqueName="[Table3].[Region Name].[All]" dimensionUniqueName="[Table3]" displayFolder="" count="2"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Max of Sales Amount]" caption="Max of Sales Amount" measure="1" displayFolder="" measureGroup="Table1" count="0" hidden="1">
      <extLst>
        <ext xmlns:x15="http://schemas.microsoft.com/office/spreadsheetml/2010/11/main" uri="{B97F6D7D-B522-45F9-BDA1-12C45D357490}">
          <x15:cacheHierarchy aggregatedColumn="4"/>
        </ext>
      </extLst>
    </cacheHierarchy>
    <cacheHierarchy uniqueName="[Measures].[Sum of Product ID]" caption="Sum of Product ID" measure="1" displayFolder="" measureGroup="Table2"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0.844005787039" createdVersion="8" refreshedVersion="8" minRefreshableVersion="3" recordCount="10" xr:uid="{3C49AF49-5B61-4D1E-9461-8B44760BCA48}">
  <cacheSource type="worksheet">
    <worksheetSource name="Table1"/>
  </cacheSource>
  <cacheFields count="7">
    <cacheField name="OrderID" numFmtId="0">
      <sharedItems/>
    </cacheField>
    <cacheField name="OrderDate" numFmtId="164">
      <sharedItems containsSemiMixedTypes="0" containsNonDate="0" containsDate="1" containsString="0" minDate="2025-01-05T00:00:00" maxDate="2025-07-15T00:00:00"/>
    </cacheField>
    <cacheField name="Product ID" numFmtId="0">
      <sharedItems containsSemiMixedTypes="0" containsString="0" containsNumber="1" containsInteger="1" minValue="101" maxValue="110"/>
    </cacheField>
    <cacheField name="Quantity" numFmtId="0">
      <sharedItems containsSemiMixedTypes="0" containsString="0" containsNumber="1" containsInteger="1" minValue="1" maxValue="4"/>
    </cacheField>
    <cacheField name="Sales Amount" numFmtId="0">
      <sharedItems containsSemiMixedTypes="0" containsString="0" containsNumber="1" containsInteger="1" minValue="1000" maxValue="6000"/>
    </cacheField>
    <cacheField name="Monthly Sales" numFmtId="0">
      <sharedItems count="7">
        <s v="Jan-2025"/>
        <s v="Feb-2025"/>
        <s v="Mar-2025"/>
        <s v="Apr-2025"/>
        <s v="May-2025"/>
        <s v="Jun-2025"/>
        <s v="Jul-2025"/>
      </sharedItems>
    </cacheField>
    <cacheField name="Week Day" numFmtId="0">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0.761119097224" backgroundQuery="1" createdVersion="3" refreshedVersion="8" minRefreshableVersion="3" recordCount="0" supportSubquery="1" supportAdvancedDrill="1" xr:uid="{BBCE650F-A79D-4000-A793-A067806BEB6B}">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Product ID]" caption="Product ID" attribute="1" defaultMemberUniqueName="[Table1].[Product ID].[All]" allUniqueName="[Table1].[Product ID].[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2" memberValueDatatype="20" unbalanced="0"/>
    <cacheHierarchy uniqueName="[Table1].[Monthly Sales]" caption="Monthly Sales" attribute="1" defaultMemberUniqueName="[Table1].[Monthly Sales].[All]" allUniqueName="[Table1].[Monthly Sales].[All]" dimensionUniqueName="[Table1]" displayFolder="" count="0" memberValueDatatype="130" unbalanced="0"/>
    <cacheHierarchy uniqueName="[Table1].[Week Day]" caption="Week Day" attribute="1" defaultMemberUniqueName="[Table1].[Week Day].[All]" allUniqueName="[Table1].[Week Day].[All]" dimensionUniqueName="[Table1]" displayFolder="" count="0" memberValueDatatype="130" unbalanced="0"/>
    <cacheHierarchy uniqueName="[Table2].[Product ID]" caption="Product ID" attribute="1" defaultMemberUniqueName="[Table2].[Product ID].[All]" allUniqueName="[Table2].[Product ID].[All]" dimensionUniqueName="[Table2]" displayFolder="" count="0" memberValueDatatype="20" unbalanced="0"/>
    <cacheHierarchy uniqueName="[Table2].[Product Name]" caption="Product Name" attribute="1" defaultMemberUniqueName="[Table2].[Product Name].[All]" allUniqueName="[Table2].[Product Name].[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3].[Product ID]" caption="Product ID" attribute="1" defaultMemberUniqueName="[Table3].[Product ID].[All]" allUniqueName="[Table3].[Product ID].[All]" dimensionUniqueName="[Table3]" displayFolder="" count="0" memberValueDatatype="20" unbalanced="0"/>
    <cacheHierarchy uniqueName="[Table3].[Region Name]" caption="Region Name" attribute="1" defaultMemberUniqueName="[Table3].[Region Name].[All]" allUniqueName="[Table3].[Region Name].[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4"/>
        </ext>
      </extLst>
    </cacheHierarchy>
    <cacheHierarchy uniqueName="[Measures].[Max of Sales Amount]" caption="Max of Sales Amount" measure="1" displayFolder="" measureGroup="Table1" count="0" hidden="1">
      <extLst>
        <ext xmlns:x15="http://schemas.microsoft.com/office/spreadsheetml/2010/11/main" uri="{B97F6D7D-B522-45F9-BDA1-12C45D357490}">
          <x15:cacheHierarchy aggregatedColumn="4"/>
        </ext>
      </extLst>
    </cacheHierarchy>
    <cacheHierarchy uniqueName="[Measures].[Sum of Product ID]" caption="Sum of Product ID" measure="1" displayFolder="" measureGroup="Table2"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518873914"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0.768150694443" backgroundQuery="1" createdVersion="3" refreshedVersion="8" minRefreshableVersion="3" recordCount="0" supportSubquery="1" supportAdvancedDrill="1" xr:uid="{EC293EBA-3C5B-4D93-BA89-B13990B9A98E}">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Measures]" caption="Measures" attribute="1" keyAttribute="1" defaultMemberUniqueName="[Measures].[__No measures defined]" dimensionUniqueName="[Measures]" displayFolder="" measures="1" count="1" memberValueDatatype="130" unbalanced="0"/>
    <cacheHierarchy uniqueName="[Table1].[OrderID]" caption="OrderID" attribute="1" defaultMemberUniqueName="[Table1].[OrderID].[All]" allUniqueName="[Table1].[OrderID].[All]" dimensionUniqueName="[Table1]" displayFolder="" count="2" memberValueDatatype="130" unbalanced="0"/>
    <cacheHierarchy uniqueName="[Table1].[OrderDate]" caption="OrderDate" attribute="1" time="1" defaultMemberUniqueName="[Table1].[OrderDate].[All]" allUniqueName="[Table1].[OrderDate].[All]" dimensionUniqueName="[Table1]" displayFolder="" count="2" memberValueDatatype="7" unbalanced="0"/>
    <cacheHierarchy uniqueName="[Table1].[Product ID]" caption="Product ID" attribute="1" defaultMemberUniqueName="[Table1].[Product ID].[All]" allUniqueName="[Table1].[Product ID].[All]" dimensionUniqueName="[Table1]" displayFolder="" count="2" memberValueDatatype="20" unbalanced="0"/>
    <cacheHierarchy uniqueName="[Table1].[Quantity]" caption="Quantity" attribute="1" defaultMemberUniqueName="[Table1].[Quantity].[All]" allUniqueName="[Table1].[Quantity].[All]" dimensionUniqueName="[Table1]" displayFolder="" count="2" memberValueDatatype="20" unbalanced="0"/>
    <cacheHierarchy uniqueName="[Table1].[Sales Amount]" caption="Sales Amount" attribute="1" defaultMemberUniqueName="[Table1].[Sales Amount].[All]" allUniqueName="[Table1].[Sales Amount].[All]" dimensionUniqueName="[Table1]" displayFolder="" count="2" memberValueDatatype="20" unbalanced="0"/>
    <cacheHierarchy uniqueName="[Table1].[Monthly Sales]" caption="Monthly Sales" attribute="1" defaultMemberUniqueName="[Table1].[Monthly Sales].[All]" allUniqueName="[Table1].[Monthly Sales].[All]" dimensionUniqueName="[Table1]" displayFolder="" count="2" memberValueDatatype="130" unbalanced="0"/>
    <cacheHierarchy uniqueName="[Table1].[Week Day]" caption="Week Day" attribute="1" defaultMemberUniqueName="[Table1].[Week Day].[All]" allUniqueName="[Table1].[Week Day].[All]" dimensionUniqueName="[Table1]" displayFolder="" count="2" memberValueDatatype="130" unbalanced="0"/>
    <cacheHierarchy uniqueName="[Table2].[Product ID]" caption="Product ID" attribute="1" defaultMemberUniqueName="[Table2].[Product ID].[All]" allUniqueName="[Table2].[Product ID].[All]" dimensionUniqueName="[Table2]" displayFolder="" count="2" memberValueDatatype="20" unbalanced="0"/>
    <cacheHierarchy uniqueName="[Table2].[Product Name]" caption="Product Name" attribute="1" defaultMemberUniqueName="[Table2].[Product Name].[All]" allUniqueName="[Table2].[Product Name].[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3].[Product ID]" caption="Product ID" attribute="1" defaultMemberUniqueName="[Table3].[Product ID].[All]" allUniqueName="[Table3].[Product ID].[All]" dimensionUniqueName="[Table3]" displayFolder="" count="2" memberValueDatatype="20" unbalanced="0"/>
    <cacheHierarchy uniqueName="[Table3].[Region Name]" caption="Region Name" attribute="1" defaultMemberUniqueName="[Table3].[Region Name].[All]" allUniqueName="[Table3].[Region Name].[All]" dimensionUniqueName="[Table3]" displayFolder="" count="2"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5"/>
        </ext>
      </extLst>
    </cacheHierarchy>
    <cacheHierarchy uniqueName="[Measures].[Max of Sales Amount]" caption="Max of Sales Amount" measure="1" displayFolder="" measureGroup="Table1" count="0" hidden="1">
      <extLst>
        <ext xmlns:x15="http://schemas.microsoft.com/office/spreadsheetml/2010/11/main" uri="{B97F6D7D-B522-45F9-BDA1-12C45D357490}">
          <x15:cacheHierarchy aggregatedColumn="5"/>
        </ext>
      </extLst>
    </cacheHierarchy>
    <cacheHierarchy uniqueName="[Measures].[Sum of Product ID]" caption="Sum of Product ID" measure="1" displayFolder="" measureGroup="Table2"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pivotCacheId="107621906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ID1"/>
    <d v="2025-01-05T00:00:00"/>
    <n v="101"/>
    <n v="2"/>
    <n v="2000"/>
    <x v="0"/>
    <s v="Sunday"/>
  </r>
  <r>
    <s v="ID2"/>
    <d v="2025-02-06T00:00:00"/>
    <n v="102"/>
    <n v="1"/>
    <n v="1500"/>
    <x v="1"/>
    <s v="Thursday"/>
  </r>
  <r>
    <s v="ID3"/>
    <d v="2025-02-07T00:00:00"/>
    <n v="103"/>
    <n v="3"/>
    <n v="4500"/>
    <x v="1"/>
    <s v="Friday"/>
  </r>
  <r>
    <s v="ID4"/>
    <d v="2025-03-08T00:00:00"/>
    <n v="104"/>
    <n v="1"/>
    <n v="1000"/>
    <x v="2"/>
    <s v="Saturday"/>
  </r>
  <r>
    <s v="ID5"/>
    <d v="2025-03-09T00:00:00"/>
    <n v="105"/>
    <n v="2"/>
    <n v="3000"/>
    <x v="2"/>
    <s v="Sunday"/>
  </r>
  <r>
    <s v="ID6"/>
    <d v="2025-04-10T00:00:00"/>
    <n v="106"/>
    <n v="4"/>
    <n v="6000"/>
    <x v="3"/>
    <s v="Thursday"/>
  </r>
  <r>
    <s v="1D7"/>
    <d v="2025-05-11T00:00:00"/>
    <n v="107"/>
    <n v="2"/>
    <n v="3000"/>
    <x v="4"/>
    <s v="Sunday"/>
  </r>
  <r>
    <s v="1D8"/>
    <d v="2025-05-12T00:00:00"/>
    <n v="108"/>
    <n v="1"/>
    <n v="1500"/>
    <x v="4"/>
    <s v="Monday"/>
  </r>
  <r>
    <s v="ID9"/>
    <d v="2025-06-13T00:00:00"/>
    <n v="109"/>
    <n v="3"/>
    <n v="3000"/>
    <x v="5"/>
    <s v="Friday"/>
  </r>
  <r>
    <s v="ID10"/>
    <d v="2025-07-14T00:00:00"/>
    <n v="110"/>
    <n v="2"/>
    <n v="3000"/>
    <x v="6"/>
    <s v="Monda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ID1"/>
    <d v="2025-01-05T00:00:00"/>
    <n v="101"/>
    <n v="2"/>
    <n v="2000"/>
    <x v="0"/>
    <s v="Sunday"/>
  </r>
  <r>
    <s v="ID2"/>
    <d v="2025-02-06T00:00:00"/>
    <n v="102"/>
    <n v="1"/>
    <n v="1500"/>
    <x v="1"/>
    <s v="Thursday"/>
  </r>
  <r>
    <s v="ID3"/>
    <d v="2025-02-07T00:00:00"/>
    <n v="103"/>
    <n v="3"/>
    <n v="4500"/>
    <x v="1"/>
    <s v="Friday"/>
  </r>
  <r>
    <s v="ID4"/>
    <d v="2025-03-08T00:00:00"/>
    <n v="104"/>
    <n v="1"/>
    <n v="1000"/>
    <x v="2"/>
    <s v="Saturday"/>
  </r>
  <r>
    <s v="ID5"/>
    <d v="2025-03-09T00:00:00"/>
    <n v="105"/>
    <n v="2"/>
    <n v="3000"/>
    <x v="2"/>
    <s v="Sunday"/>
  </r>
  <r>
    <s v="ID6"/>
    <d v="2025-04-10T00:00:00"/>
    <n v="106"/>
    <n v="4"/>
    <n v="6000"/>
    <x v="3"/>
    <s v="Thursday"/>
  </r>
  <r>
    <s v="1D7"/>
    <d v="2025-05-11T00:00:00"/>
    <n v="107"/>
    <n v="2"/>
    <n v="3000"/>
    <x v="4"/>
    <s v="Sunday"/>
  </r>
  <r>
    <s v="1D8"/>
    <d v="2025-05-12T00:00:00"/>
    <n v="108"/>
    <n v="1"/>
    <n v="1500"/>
    <x v="4"/>
    <s v="Monday"/>
  </r>
  <r>
    <s v="ID9"/>
    <d v="2025-06-13T00:00:00"/>
    <n v="109"/>
    <n v="3"/>
    <n v="3000"/>
    <x v="5"/>
    <s v="Friday"/>
  </r>
  <r>
    <s v="ID10"/>
    <d v="2025-07-14T00:00:00"/>
    <n v="110"/>
    <n v="2"/>
    <n v="3000"/>
    <x v="6"/>
    <s v="Mon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30003B-D09F-4A1D-B535-068E5CF25FE4}"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7">
    <pivotField showAll="0"/>
    <pivotField numFmtId="164" showAll="0"/>
    <pivotField showAll="0"/>
    <pivotField showAll="0"/>
    <pivotField dataField="1" showAll="0"/>
    <pivotField axis="axisRow" showAll="0">
      <items count="8">
        <item x="3"/>
        <item x="1"/>
        <item x="0"/>
        <item x="6"/>
        <item x="5"/>
        <item x="2"/>
        <item x="4"/>
        <item t="default"/>
      </items>
    </pivotField>
    <pivotField showAll="0"/>
  </pivotFields>
  <rowFields count="1">
    <field x="5"/>
  </rowFields>
  <rowItems count="8">
    <i>
      <x/>
    </i>
    <i>
      <x v="1"/>
    </i>
    <i>
      <x v="2"/>
    </i>
    <i>
      <x v="3"/>
    </i>
    <i>
      <x v="4"/>
    </i>
    <i>
      <x v="5"/>
    </i>
    <i>
      <x v="6"/>
    </i>
    <i t="grand">
      <x/>
    </i>
  </rowItems>
  <colItems count="1">
    <i/>
  </colItems>
  <dataFields count="1">
    <dataField name="Sum of Sales Amount" fld="4"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0E2D13-938F-4662-8CF5-61D9BD2468AB}" name="PivotTable6"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B9"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Sales Amount" fld="1" baseField="0" baseItem="0"/>
  </dataField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x of Sales Amount"/>
    <pivotHierarchy dragToData="1"/>
  </pivotHierarchies>
  <pivotTableStyleInfo name="PivotStyleLight16" showRowHeaders="1" showColHeaders="1" showRowStripes="0" showColStripes="0" showLastColumn="1"/>
  <filters count="1">
    <filter fld="0" type="count" id="1" iMeasureHier="16">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6E4C75-716D-4061-8714-040FEFD4A43F}" name="PivotTable8"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3:F7"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5">
        <item s="1" x="0"/>
        <item s="1" x="1"/>
        <item s="1" x="2"/>
        <item s="1" x="3"/>
        <item x="4"/>
      </items>
    </pivotField>
    <pivotField dataField="1" subtotalTop="0" showAll="0" defaultSubtotal="0"/>
  </pivotFields>
  <rowFields count="1">
    <field x="0"/>
  </rowFields>
  <rowItems count="3">
    <i>
      <x/>
    </i>
    <i>
      <x v="1"/>
    </i>
    <i t="grand">
      <x/>
    </i>
  </rowItems>
  <colFields count="1">
    <field x="1"/>
  </colFields>
  <colItems count="5">
    <i>
      <x/>
    </i>
    <i>
      <x v="1"/>
    </i>
    <i>
      <x v="2"/>
    </i>
    <i>
      <x v="3"/>
    </i>
    <i t="grand">
      <x/>
    </i>
  </colItems>
  <dataFields count="1">
    <dataField name="Sum of Sales Amount" fld="2" baseField="0" baseItem="0"/>
  </dataFields>
  <chartFormats count="9">
    <chartFormat chart="11" format="0" series="1">
      <pivotArea type="data" outline="0" fieldPosition="0">
        <references count="2">
          <reference field="4294967294" count="1" selected="0">
            <x v="0"/>
          </reference>
          <reference field="1" count="1" selected="0">
            <x v="0"/>
          </reference>
        </references>
      </pivotArea>
    </chartFormat>
    <chartFormat chart="11" format="1" series="1">
      <pivotArea type="data" outline="0" fieldPosition="0">
        <references count="2">
          <reference field="4294967294" count="1" selected="0">
            <x v="0"/>
          </reference>
          <reference field="1" count="1" selected="0">
            <x v="1"/>
          </reference>
        </references>
      </pivotArea>
    </chartFormat>
    <chartFormat chart="11" format="2" series="1">
      <pivotArea type="data" outline="0" fieldPosition="0">
        <references count="2">
          <reference field="4294967294" count="1" selected="0">
            <x v="0"/>
          </reference>
          <reference field="1" count="1" selected="0">
            <x v="2"/>
          </reference>
        </references>
      </pivotArea>
    </chartFormat>
    <chartFormat chart="11" format="3" series="1">
      <pivotArea type="data" outline="0" fieldPosition="0">
        <references count="2">
          <reference field="4294967294" count="1" selected="0">
            <x v="0"/>
          </reference>
          <reference field="1" count="1" selected="0">
            <x v="3"/>
          </reference>
        </references>
      </pivotArea>
    </chartFormat>
    <chartFormat chart="11" format="4" series="1">
      <pivotArea type="data" outline="0" fieldPosition="0">
        <references count="2">
          <reference field="4294967294" count="1" selected="0">
            <x v="0"/>
          </reference>
          <reference field="1" count="1" selected="0">
            <x v="4"/>
          </reference>
        </references>
      </pivotArea>
    </chartFormat>
    <chartFormat chart="13" format="9" series="1">
      <pivotArea type="data" outline="0" fieldPosition="0">
        <references count="2">
          <reference field="4294967294" count="1" selected="0">
            <x v="0"/>
          </reference>
          <reference field="1" count="1" selected="0">
            <x v="0"/>
          </reference>
        </references>
      </pivotArea>
    </chartFormat>
    <chartFormat chart="13" format="10" series="1">
      <pivotArea type="data" outline="0" fieldPosition="0">
        <references count="2">
          <reference field="4294967294" count="1" selected="0">
            <x v="0"/>
          </reference>
          <reference field="1" count="1" selected="0">
            <x v="1"/>
          </reference>
        </references>
      </pivotArea>
    </chartFormat>
    <chartFormat chart="13" format="11" series="1">
      <pivotArea type="data" outline="0" fieldPosition="0">
        <references count="2">
          <reference field="4294967294" count="1" selected="0">
            <x v="0"/>
          </reference>
          <reference field="1" count="1" selected="0">
            <x v="2"/>
          </reference>
        </references>
      </pivotArea>
    </chartFormat>
    <chartFormat chart="13" format="12" series="1">
      <pivotArea type="data" outline="0" fieldPosition="0">
        <references count="2">
          <reference field="4294967294" count="1" selected="0">
            <x v="0"/>
          </reference>
          <reference field="1" count="1" selected="0">
            <x v="3"/>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3]"/>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0D0510-C33A-48D5-B3B6-3FDAEB3E8D1E}" name="PivotTable11" cacheId="3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3:B10" firstHeaderRow="1" firstDataRow="1" firstDataCol="1"/>
  <pivotFields count="7">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3"/>
        <item x="1"/>
        <item x="0"/>
        <item x="6"/>
        <item x="5"/>
        <item x="2"/>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5"/>
  </rowFields>
  <rowItems count="7">
    <i>
      <x/>
    </i>
    <i>
      <x v="1"/>
    </i>
    <i>
      <x v="2"/>
    </i>
    <i>
      <x v="3"/>
    </i>
    <i>
      <x v="4"/>
    </i>
    <i>
      <x v="5"/>
    </i>
    <i>
      <x v="6"/>
    </i>
  </rowItems>
  <colItems count="1">
    <i/>
  </colItems>
  <dataFields count="1">
    <dataField name="Sum of Quantity" fld="3" baseField="0" baseItem="0"/>
  </dataFields>
  <formats count="5">
    <format dxfId="11">
      <pivotArea type="all" dataOnly="0" outline="0" fieldPosition="0"/>
    </format>
    <format dxfId="10">
      <pivotArea outline="0" collapsedLevelsAreSubtotals="1" fieldPosition="0"/>
    </format>
    <format dxfId="9">
      <pivotArea field="5" type="button" dataOnly="0" labelOnly="1" outline="0" axis="axisRow" fieldPosition="0"/>
    </format>
    <format dxfId="8">
      <pivotArea dataOnly="0" labelOnly="1" outline="0" fieldPosition="0">
        <references count="1">
          <reference field="5" count="0"/>
        </references>
      </pivotArea>
    </format>
    <format dxfId="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7A1C39-7F3D-4056-87BC-068C8EB40CC8}" name="PivotTable4"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I5:N9"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5">
        <item s="1" x="0"/>
        <item s="1" x="1"/>
        <item s="1" x="2"/>
        <item s="1" x="3"/>
        <item x="4"/>
      </items>
    </pivotField>
    <pivotField dataField="1" subtotalTop="0" showAll="0" defaultSubtotal="0"/>
  </pivotFields>
  <rowFields count="1">
    <field x="0"/>
  </rowFields>
  <rowItems count="3">
    <i>
      <x/>
    </i>
    <i>
      <x v="1"/>
    </i>
    <i t="grand">
      <x/>
    </i>
  </rowItems>
  <colFields count="1">
    <field x="1"/>
  </colFields>
  <colItems count="5">
    <i>
      <x/>
    </i>
    <i>
      <x v="1"/>
    </i>
    <i>
      <x v="2"/>
    </i>
    <i>
      <x v="3"/>
    </i>
    <i t="grand">
      <x/>
    </i>
  </colItems>
  <dataFields count="1">
    <dataField name="Sum of Sales Amount" fld="2" baseField="0" baseItem="0"/>
  </dataFields>
  <formats count="4">
    <format dxfId="29">
      <pivotArea type="all" dataOnly="0" outline="0" fieldPosition="0"/>
    </format>
    <format dxfId="28">
      <pivotArea type="all" dataOnly="0" outline="0" fieldPosition="0"/>
    </format>
    <format dxfId="27">
      <pivotArea type="origin" dataOnly="0" labelOnly="1" outline="0" fieldPosition="0"/>
    </format>
    <format dxfId="26">
      <pivotArea field="1" type="button" dataOnly="0" labelOnly="1" outline="0" axis="axisCol" fieldPosition="0"/>
    </format>
  </formats>
  <chartFormats count="9">
    <chartFormat chart="11" format="0" series="1">
      <pivotArea type="data" outline="0" fieldPosition="0">
        <references count="2">
          <reference field="4294967294" count="1" selected="0">
            <x v="0"/>
          </reference>
          <reference field="1" count="1" selected="0">
            <x v="0"/>
          </reference>
        </references>
      </pivotArea>
    </chartFormat>
    <chartFormat chart="11" format="1" series="1">
      <pivotArea type="data" outline="0" fieldPosition="0">
        <references count="2">
          <reference field="4294967294" count="1" selected="0">
            <x v="0"/>
          </reference>
          <reference field="1" count="1" selected="0">
            <x v="1"/>
          </reference>
        </references>
      </pivotArea>
    </chartFormat>
    <chartFormat chart="11" format="2" series="1">
      <pivotArea type="data" outline="0" fieldPosition="0">
        <references count="2">
          <reference field="4294967294" count="1" selected="0">
            <x v="0"/>
          </reference>
          <reference field="1" count="1" selected="0">
            <x v="2"/>
          </reference>
        </references>
      </pivotArea>
    </chartFormat>
    <chartFormat chart="11" format="3" series="1">
      <pivotArea type="data" outline="0" fieldPosition="0">
        <references count="2">
          <reference field="4294967294" count="1" selected="0">
            <x v="0"/>
          </reference>
          <reference field="1" count="1" selected="0">
            <x v="3"/>
          </reference>
        </references>
      </pivotArea>
    </chartFormat>
    <chartFormat chart="11" format="4" series="1">
      <pivotArea type="data" outline="0" fieldPosition="0">
        <references count="2">
          <reference field="4294967294" count="1" selected="0">
            <x v="0"/>
          </reference>
          <reference field="1" count="1" selected="0">
            <x v="4"/>
          </reference>
        </references>
      </pivotArea>
    </chartFormat>
    <chartFormat chart="13" format="9" series="1">
      <pivotArea type="data" outline="0" fieldPosition="0">
        <references count="2">
          <reference field="4294967294" count="1" selected="0">
            <x v="0"/>
          </reference>
          <reference field="1" count="1" selected="0">
            <x v="0"/>
          </reference>
        </references>
      </pivotArea>
    </chartFormat>
    <chartFormat chart="13" format="10" series="1">
      <pivotArea type="data" outline="0" fieldPosition="0">
        <references count="2">
          <reference field="4294967294" count="1" selected="0">
            <x v="0"/>
          </reference>
          <reference field="1" count="1" selected="0">
            <x v="1"/>
          </reference>
        </references>
      </pivotArea>
    </chartFormat>
    <chartFormat chart="13" format="11" series="1">
      <pivotArea type="data" outline="0" fieldPosition="0">
        <references count="2">
          <reference field="4294967294" count="1" selected="0">
            <x v="0"/>
          </reference>
          <reference field="1" count="1" selected="0">
            <x v="2"/>
          </reference>
        </references>
      </pivotArea>
    </chartFormat>
    <chartFormat chart="13" format="12" series="1">
      <pivotArea type="data" outline="0" fieldPosition="0">
        <references count="2">
          <reference field="4294967294" count="1" selected="0">
            <x v="0"/>
          </reference>
          <reference field="1" count="1" selected="0">
            <x v="3"/>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3]"/>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988065-5F64-403F-BA41-D4C60EF79E78}" name="PivotTable2"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F5:G11"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Sales Amount" fld="1" baseField="0" baseItem="0"/>
  </dataFields>
  <formats count="14">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fieldPosition="0">
        <references count="1">
          <reference field="0" count="0"/>
        </references>
      </pivotArea>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fieldPosition="0">
        <references count="1">
          <reference field="0" count="0"/>
        </references>
      </pivotArea>
    </format>
    <format dxfId="33">
      <pivotArea dataOnly="0" labelOnly="1" grandRow="1" outline="0" fieldPosition="0"/>
    </format>
    <format dxfId="32">
      <pivotArea dataOnly="0" labelOnly="1" outline="0" axis="axisValues" fieldPosition="0"/>
    </format>
    <format dxfId="31">
      <pivotArea field="0" type="button" dataOnly="0" labelOnly="1" outline="0" axis="axisRow" fieldPosition="0"/>
    </format>
    <format dxfId="30">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x of Sales Amount"/>
    <pivotHierarchy dragToData="1"/>
  </pivotHierarchies>
  <pivotTableStyleInfo name="PivotStyleLight16" showRowHeaders="1" showColHeaders="1" showRowStripes="0" showColStripes="0" showLastColumn="1"/>
  <filters count="1">
    <filter fld="0" type="count" id="1" iMeasureHier="16">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8700B0-C65D-4F8B-AEF3-45C1F2AC0010}"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5:D13" firstHeaderRow="1" firstDataRow="1" firstDataCol="1"/>
  <pivotFields count="7">
    <pivotField showAll="0"/>
    <pivotField numFmtId="164" showAll="0"/>
    <pivotField showAll="0"/>
    <pivotField showAll="0"/>
    <pivotField dataField="1" showAll="0"/>
    <pivotField axis="axisRow" showAll="0">
      <items count="8">
        <item x="3"/>
        <item x="1"/>
        <item x="0"/>
        <item x="6"/>
        <item x="5"/>
        <item x="2"/>
        <item x="4"/>
        <item t="default"/>
      </items>
    </pivotField>
    <pivotField showAll="0"/>
  </pivotFields>
  <rowFields count="1">
    <field x="5"/>
  </rowFields>
  <rowItems count="8">
    <i>
      <x/>
    </i>
    <i>
      <x v="1"/>
    </i>
    <i>
      <x v="2"/>
    </i>
    <i>
      <x v="3"/>
    </i>
    <i>
      <x v="4"/>
    </i>
    <i>
      <x v="5"/>
    </i>
    <i>
      <x v="6"/>
    </i>
    <i t="grand">
      <x/>
    </i>
  </rowItems>
  <colItems count="1">
    <i/>
  </colItems>
  <dataFields count="1">
    <dataField name="Sum of Sales Amount" fld="4" baseField="0" baseItem="0"/>
  </dataFields>
  <formats count="20">
    <format dxfId="63">
      <pivotArea type="all" dataOnly="0" outline="0" fieldPosition="0"/>
    </format>
    <format dxfId="62">
      <pivotArea outline="0" collapsedLevelsAreSubtotals="1" fieldPosition="0"/>
    </format>
    <format dxfId="61">
      <pivotArea field="5" type="button" dataOnly="0" labelOnly="1" outline="0" axis="axisRow" fieldPosition="0"/>
    </format>
    <format dxfId="60">
      <pivotArea dataOnly="0" labelOnly="1" fieldPosition="0">
        <references count="1">
          <reference field="5" count="0"/>
        </references>
      </pivotArea>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5" type="button" dataOnly="0" labelOnly="1" outline="0" axis="axisRow" fieldPosition="0"/>
    </format>
    <format dxfId="54">
      <pivotArea dataOnly="0" labelOnly="1" fieldPosition="0">
        <references count="1">
          <reference field="5" count="0"/>
        </references>
      </pivotArea>
    </format>
    <format dxfId="53">
      <pivotArea dataOnly="0" labelOnly="1" grandRow="1" outline="0"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5" type="button" dataOnly="0" labelOnly="1" outline="0" axis="axisRow" fieldPosition="0"/>
    </format>
    <format dxfId="48">
      <pivotArea dataOnly="0" labelOnly="1" fieldPosition="0">
        <references count="1">
          <reference field="5" count="0"/>
        </references>
      </pivotArea>
    </format>
    <format dxfId="47">
      <pivotArea dataOnly="0" labelOnly="1" grandRow="1" outline="0" fieldPosition="0"/>
    </format>
    <format dxfId="46">
      <pivotArea dataOnly="0" labelOnly="1" outline="0" axis="axisValues" fieldPosition="0"/>
    </format>
    <format dxfId="45">
      <pivotArea field="5" type="button" dataOnly="0" labelOnly="1" outline="0" axis="axisRow" fieldPosition="0"/>
    </format>
    <format dxfId="44">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26FE335-2D42-497A-B96E-325D613CB142}" sourceName="[Table2].[Category]">
  <pivotTables>
    <pivotTable tabId="10" name="PivotTable8"/>
    <pivotTable tabId="12" name="PivotTable4"/>
  </pivotTables>
  <data>
    <olap pivotCacheId="518873914">
      <levels count="2">
        <level uniqueName="[Table2].[Category].[(All)]" sourceCaption="(All)" count="0"/>
        <level uniqueName="[Table2].[Category].[Category]" sourceCaption="Category" count="2">
          <ranges>
            <range startItem="0">
              <i n="[Table2].[Category].&amp;[Electronics]" c="Electronics"/>
              <i n="[Table2].[Category].&amp;[Furniture]" c="Furniture"/>
            </range>
          </ranges>
        </level>
      </levels>
      <selections count="1">
        <selection n="[Table2].[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B3240395-8E48-4215-A81B-1A34C0272E08}" sourceName="[Table2].[Product Name]">
  <pivotTables>
    <pivotTable tabId="8" name="PivotTable6"/>
  </pivotTables>
  <data>
    <olap pivotCacheId="518873914">
      <levels count="2">
        <level uniqueName="[Table2].[Product Name].[(All)]" sourceCaption="(All)" count="0"/>
        <level uniqueName="[Table2].[Product Name].[Product Name]" sourceCaption="Product Name" count="10">
          <ranges>
            <range startItem="0">
              <i n="[Table2].[Product Name].&amp;[Chair]" c="Chair"/>
              <i n="[Table2].[Product Name].&amp;[Dining Table]" c="Dining Table"/>
              <i n="[Table2].[Product Name].&amp;[Laptop]" c="Laptop"/>
              <i n="[Table2].[Product Name].&amp;[Mobile Phone]" c="Mobile Phone"/>
              <i n="[Table2].[Product Name].&amp;[Printer]" c="Printer"/>
              <i n="[Table2].[Product Name].&amp;[Sofa]" c="Sofa"/>
              <i n="[Table2].[Product Name].&amp;[Table]" c="Table"/>
              <i n="[Table2].[Product Name].&amp;[Tablet]" c="Tablet"/>
              <i n="[Table2].[Product Name].&amp;[TV]" c="TV"/>
              <i n="[Table2].[Product Name].&amp;[Washing Mashine]" c="Washing Mashine"/>
            </range>
          </ranges>
        </level>
      </levels>
      <selections count="1">
        <selection n="[Table2].[Product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858916A1-E548-4359-AEB3-F6AE8D3EAC0D}" cache="Slicer_Product_Name" caption="Product Nam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5F72E87-B686-45C2-8063-B14077501F7B}" cache="Slicer_Category" caption="Category"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0C6F23D-F498-4028-8717-52D6EFFA9C3D}" cache="Slicer_Category" caption="Category" level="1" rowHeight="234950"/>
  <slicer name="Product Name 1" xr10:uid="{2D77D747-EE62-42E0-9BDE-CB6F47EA45C2}" cache="Slicer_Product_Name" caption="Product Nam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97E724-82B1-4BD0-8E1F-3805FB98B21E}" name="Table1" displayName="Table1" ref="A1:G12" totalsRowCount="1" headerRowDxfId="76" dataDxfId="74" headerRowBorderDxfId="75" tableBorderDxfId="73" totalsRowBorderDxfId="72">
  <autoFilter ref="A1:G11" xr:uid="{9F97E724-82B1-4BD0-8E1F-3805FB98B21E}"/>
  <tableColumns count="7">
    <tableColumn id="1" xr3:uid="{1DB923EF-014E-4634-9146-287353ECF908}" name="OrderID" dataDxfId="18" totalsRowDxfId="6"/>
    <tableColumn id="2" xr3:uid="{C08BB730-707D-4986-B56B-0406CE1AA39B}" name="OrderDate" dataDxfId="17" totalsRowDxfId="5"/>
    <tableColumn id="3" xr3:uid="{17D96FDD-FBE9-4281-95DE-8023543A11E3}" name="Product ID" dataDxfId="16" totalsRowDxfId="4"/>
    <tableColumn id="5" xr3:uid="{A27981FB-8A90-4436-8909-83E2B2CE3F15}" name="Quantity" totalsRowLabel="Average" dataDxfId="15" totalsRowDxfId="3"/>
    <tableColumn id="6" xr3:uid="{ADE40C6D-2A61-4ADA-9651-75BA5EAB9815}" name="Sales Amount" totalsRowFunction="custom" dataDxfId="14" totalsRowDxfId="2">
      <totalsRowFormula>AVERAGE(E2:E11)</totalsRowFormula>
    </tableColumn>
    <tableColumn id="9" xr3:uid="{04211C04-E46E-4223-852D-46F1103E937C}" name="Monthly Sales" dataDxfId="13" totalsRowDxfId="1">
      <calculatedColumnFormula>TEXT(Table1[[#This Row],[OrderDate]],"mmm-yyyy")</calculatedColumnFormula>
    </tableColumn>
    <tableColumn id="10" xr3:uid="{93E7D3F1-D13D-4CE8-92B1-64B95DCD60D5}" name="Week Day" dataDxfId="12" totalsRowDxfId="0">
      <calculatedColumnFormula>TEXT(Table1[[#This Row],[OrderDate]],"dddd")</calculatedColumnFormula>
    </tableColumn>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11A0A1-A6FD-4707-8307-F37BF1147554}" name="Table2" displayName="Table2" ref="A1:C11" totalsRowShown="0" headerRowDxfId="71" dataDxfId="69" headerRowBorderDxfId="70" tableBorderDxfId="68" totalsRowBorderDxfId="67">
  <autoFilter ref="A1:C11" xr:uid="{7211A0A1-A6FD-4707-8307-F37BF1147554}"/>
  <tableColumns count="3">
    <tableColumn id="1" xr3:uid="{B7FD5DEF-CB5B-484F-80E3-4710B81377A5}" name="Product ID" dataDxfId="66"/>
    <tableColumn id="2" xr3:uid="{443DC55F-0DA8-4E7C-A8DD-1DD48E665A05}" name="Product Name" dataDxfId="65"/>
    <tableColumn id="3" xr3:uid="{EDD711DE-815F-4392-9965-84E2490E26CF}" name="Category" dataDxfId="64"/>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26C9B9-9A82-4B56-8C7A-AB55BE02CFF6}" name="Table3" displayName="Table3" ref="A1:B5" totalsRowShown="0" headerRowDxfId="25" dataDxfId="23" headerRowBorderDxfId="24" tableBorderDxfId="22" totalsRowBorderDxfId="21">
  <autoFilter ref="A1:B5" xr:uid="{5C26C9B9-9A82-4B56-8C7A-AB55BE02CFF6}"/>
  <tableColumns count="2">
    <tableColumn id="1" xr3:uid="{5CD00B25-3FF2-45BA-B759-52AF5D43A338}" name="Product ID" dataDxfId="20"/>
    <tableColumn id="2" xr3:uid="{A1797A58-28A3-4E29-B385-8035F1265216}" name="Region Name" dataDxfId="19"/>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678B174B-7309-42FF-A0E3-49D084BCFAFD}" sourceName="[Table1].[OrderDate]">
  <state minimalRefreshVersion="6" lastRefreshVersion="6" pivotCacheId="1076219067"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BC058028-ACCA-4689-B741-2B33B63A822A}" cache="Timeline_OrderDate" caption="OrderDate" level="2" selectionLevel="2" scrollPosition="2025-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060E600F-8778-4C20-A881-98D55D902ED8}" cache="Timeline_OrderDate" caption="OrderDate" level="2" selectionLevel="2" scrollPosition="2025-05-19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855AA10-E288-4569-A543-1989AF2D2EA7}">
  <we:reference id="wa200008734" version="1.0.0.4" store="en-US" storeType="OMEX"/>
  <we:alternateReferences>
    <we:reference id="WA200008734" version="1.0.0.4" store="WA200008734" storeType="OMEX"/>
  </we:alternateReferences>
  <we:properties>
    <we:property name="elkar-uid" value="&quot;013fc031-0f00-4f5b-a30f-015e6bd6497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11/relationships/timeline" Target="../timelines/timeline2.xml"/><Relationship Id="rId5" Type="http://schemas.microsoft.com/office/2007/relationships/slicer" Target="../slicers/slicer3.xml"/><Relationship Id="rId4"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73D51-3772-4C6E-9FC8-012BA5F9436B}">
  <dimension ref="A3:B11"/>
  <sheetViews>
    <sheetView workbookViewId="0">
      <selection activeCell="A3" sqref="A3:B11"/>
    </sheetView>
  </sheetViews>
  <sheetFormatPr defaultRowHeight="14.4" x14ac:dyDescent="0.3"/>
  <cols>
    <col min="1" max="1" width="12.5546875" bestFit="1" customWidth="1"/>
    <col min="2" max="2" width="19.21875" bestFit="1" customWidth="1"/>
  </cols>
  <sheetData>
    <row r="3" spans="1:2" x14ac:dyDescent="0.3">
      <c r="A3" s="16" t="s">
        <v>29</v>
      </c>
      <c r="B3" t="s">
        <v>38</v>
      </c>
    </row>
    <row r="4" spans="1:2" x14ac:dyDescent="0.3">
      <c r="A4" s="17" t="s">
        <v>30</v>
      </c>
      <c r="B4" s="18">
        <v>6000</v>
      </c>
    </row>
    <row r="5" spans="1:2" x14ac:dyDescent="0.3">
      <c r="A5" s="17" t="s">
        <v>31</v>
      </c>
      <c r="B5" s="18">
        <v>6000</v>
      </c>
    </row>
    <row r="6" spans="1:2" x14ac:dyDescent="0.3">
      <c r="A6" s="17" t="s">
        <v>32</v>
      </c>
      <c r="B6" s="18">
        <v>2000</v>
      </c>
    </row>
    <row r="7" spans="1:2" x14ac:dyDescent="0.3">
      <c r="A7" s="17" t="s">
        <v>33</v>
      </c>
      <c r="B7" s="18">
        <v>3000</v>
      </c>
    </row>
    <row r="8" spans="1:2" x14ac:dyDescent="0.3">
      <c r="A8" s="17" t="s">
        <v>34</v>
      </c>
      <c r="B8" s="18">
        <v>3000</v>
      </c>
    </row>
    <row r="9" spans="1:2" x14ac:dyDescent="0.3">
      <c r="A9" s="17" t="s">
        <v>35</v>
      </c>
      <c r="B9" s="18">
        <v>4000</v>
      </c>
    </row>
    <row r="10" spans="1:2" x14ac:dyDescent="0.3">
      <c r="A10" s="17" t="s">
        <v>36</v>
      </c>
      <c r="B10" s="18">
        <v>4500</v>
      </c>
    </row>
    <row r="11" spans="1:2" x14ac:dyDescent="0.3">
      <c r="A11" s="17" t="s">
        <v>37</v>
      </c>
      <c r="B11" s="18">
        <v>28500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A4BBE-2229-4124-B941-8F46CD6B52C0}">
  <dimension ref="A3:B9"/>
  <sheetViews>
    <sheetView workbookViewId="0">
      <selection activeCell="E12" sqref="E12"/>
    </sheetView>
  </sheetViews>
  <sheetFormatPr defaultRowHeight="14.4" x14ac:dyDescent="0.3"/>
  <cols>
    <col min="1" max="1" width="12.5546875" bestFit="1" customWidth="1"/>
    <col min="2" max="2" width="19.21875" bestFit="1" customWidth="1"/>
  </cols>
  <sheetData>
    <row r="3" spans="1:2" x14ac:dyDescent="0.3">
      <c r="A3" s="16" t="s">
        <v>29</v>
      </c>
      <c r="B3" t="s">
        <v>38</v>
      </c>
    </row>
    <row r="4" spans="1:2" x14ac:dyDescent="0.3">
      <c r="A4" s="17" t="s">
        <v>22</v>
      </c>
      <c r="B4" s="18">
        <v>4500</v>
      </c>
    </row>
    <row r="5" spans="1:2" x14ac:dyDescent="0.3">
      <c r="A5" s="17" t="s">
        <v>42</v>
      </c>
      <c r="B5" s="18">
        <v>3000</v>
      </c>
    </row>
    <row r="6" spans="1:2" x14ac:dyDescent="0.3">
      <c r="A6" s="17" t="s">
        <v>43</v>
      </c>
      <c r="B6" s="18">
        <v>3000</v>
      </c>
    </row>
    <row r="7" spans="1:2" x14ac:dyDescent="0.3">
      <c r="A7" s="17" t="s">
        <v>39</v>
      </c>
      <c r="B7" s="18">
        <v>6000</v>
      </c>
    </row>
    <row r="8" spans="1:2" x14ac:dyDescent="0.3">
      <c r="A8" s="17" t="s">
        <v>24</v>
      </c>
      <c r="B8" s="18">
        <v>3000</v>
      </c>
    </row>
    <row r="9" spans="1:2" x14ac:dyDescent="0.3">
      <c r="A9" s="17" t="s">
        <v>37</v>
      </c>
      <c r="B9" s="18">
        <v>19500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9A511-EFD4-4634-8C3F-E29527EFC0FE}">
  <dimension ref="A3:F7"/>
  <sheetViews>
    <sheetView workbookViewId="0">
      <selection activeCell="A3" sqref="A3:F7"/>
    </sheetView>
  </sheetViews>
  <sheetFormatPr defaultRowHeight="14.4" x14ac:dyDescent="0.3"/>
  <cols>
    <col min="1" max="1" width="19.21875" bestFit="1" customWidth="1"/>
    <col min="2" max="2" width="15.5546875" bestFit="1" customWidth="1"/>
    <col min="3" max="3" width="5.88671875" bestFit="1" customWidth="1"/>
    <col min="4" max="4" width="6" bestFit="1" customWidth="1"/>
    <col min="5" max="5" width="5.21875" bestFit="1" customWidth="1"/>
    <col min="6" max="7" width="10.77734375" bestFit="1" customWidth="1"/>
  </cols>
  <sheetData>
    <row r="3" spans="1:6" x14ac:dyDescent="0.3">
      <c r="A3" s="16" t="s">
        <v>38</v>
      </c>
      <c r="B3" s="16" t="s">
        <v>46</v>
      </c>
    </row>
    <row r="4" spans="1:6" x14ac:dyDescent="0.3">
      <c r="A4" s="16" t="s">
        <v>29</v>
      </c>
      <c r="B4" t="s">
        <v>11</v>
      </c>
      <c r="C4" t="s">
        <v>8</v>
      </c>
      <c r="D4" t="s">
        <v>9</v>
      </c>
      <c r="E4" t="s">
        <v>10</v>
      </c>
      <c r="F4" t="s">
        <v>37</v>
      </c>
    </row>
    <row r="5" spans="1:6" x14ac:dyDescent="0.3">
      <c r="A5" s="17" t="s">
        <v>5</v>
      </c>
      <c r="B5" s="18"/>
      <c r="C5" s="18">
        <v>2000</v>
      </c>
      <c r="D5" s="18">
        <v>1500</v>
      </c>
      <c r="E5" s="18"/>
      <c r="F5" s="18">
        <v>3500</v>
      </c>
    </row>
    <row r="6" spans="1:6" x14ac:dyDescent="0.3">
      <c r="A6" s="17" t="s">
        <v>7</v>
      </c>
      <c r="B6" s="18">
        <v>1000</v>
      </c>
      <c r="C6" s="18"/>
      <c r="D6" s="18"/>
      <c r="E6" s="18">
        <v>4500</v>
      </c>
      <c r="F6" s="18">
        <v>5500</v>
      </c>
    </row>
    <row r="7" spans="1:6" x14ac:dyDescent="0.3">
      <c r="A7" s="17" t="s">
        <v>37</v>
      </c>
      <c r="B7" s="18">
        <v>1000</v>
      </c>
      <c r="C7" s="18">
        <v>2000</v>
      </c>
      <c r="D7" s="18">
        <v>1500</v>
      </c>
      <c r="E7" s="18">
        <v>4500</v>
      </c>
      <c r="F7" s="18">
        <v>9000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DB2B2-F00A-48E8-85D2-C6E6A6E2F32C}">
  <dimension ref="A3:C15"/>
  <sheetViews>
    <sheetView workbookViewId="0">
      <selection activeCell="A3" sqref="A3:B10"/>
    </sheetView>
  </sheetViews>
  <sheetFormatPr defaultRowHeight="14.4" x14ac:dyDescent="0.3"/>
  <cols>
    <col min="1" max="1" width="15.109375" bestFit="1" customWidth="1"/>
    <col min="2" max="2" width="14.88671875" bestFit="1" customWidth="1"/>
  </cols>
  <sheetData>
    <row r="3" spans="1:3" x14ac:dyDescent="0.3">
      <c r="A3" s="32" t="s">
        <v>27</v>
      </c>
      <c r="B3" s="33" t="s">
        <v>48</v>
      </c>
    </row>
    <row r="4" spans="1:3" x14ac:dyDescent="0.3">
      <c r="A4" s="33" t="s">
        <v>30</v>
      </c>
      <c r="B4" s="34">
        <v>4</v>
      </c>
    </row>
    <row r="5" spans="1:3" x14ac:dyDescent="0.3">
      <c r="A5" s="33" t="s">
        <v>31</v>
      </c>
      <c r="B5" s="34">
        <v>4</v>
      </c>
    </row>
    <row r="6" spans="1:3" x14ac:dyDescent="0.3">
      <c r="A6" s="33" t="s">
        <v>32</v>
      </c>
      <c r="B6" s="34">
        <v>2</v>
      </c>
    </row>
    <row r="7" spans="1:3" x14ac:dyDescent="0.3">
      <c r="A7" s="33" t="s">
        <v>33</v>
      </c>
      <c r="B7" s="34">
        <v>2</v>
      </c>
    </row>
    <row r="8" spans="1:3" x14ac:dyDescent="0.3">
      <c r="A8" s="33" t="s">
        <v>34</v>
      </c>
      <c r="B8" s="34">
        <v>3</v>
      </c>
    </row>
    <row r="9" spans="1:3" x14ac:dyDescent="0.3">
      <c r="A9" s="33" t="s">
        <v>35</v>
      </c>
      <c r="B9" s="34">
        <v>3</v>
      </c>
    </row>
    <row r="10" spans="1:3" x14ac:dyDescent="0.3">
      <c r="A10" s="33" t="s">
        <v>36</v>
      </c>
      <c r="B10" s="34">
        <v>3</v>
      </c>
    </row>
    <row r="15" spans="1:3" x14ac:dyDescent="0.3">
      <c r="C15">
        <v>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workbookViewId="0">
      <selection sqref="A1:G12"/>
    </sheetView>
  </sheetViews>
  <sheetFormatPr defaultRowHeight="14.4" x14ac:dyDescent="0.3"/>
  <cols>
    <col min="1" max="1" width="13" customWidth="1"/>
    <col min="2" max="2" width="14.21875" customWidth="1"/>
    <col min="3" max="3" width="14" customWidth="1"/>
    <col min="4" max="4" width="12.5546875" customWidth="1"/>
    <col min="5" max="5" width="17" customWidth="1"/>
    <col min="6" max="6" width="11.109375" customWidth="1"/>
    <col min="7" max="7" width="12.33203125" customWidth="1"/>
  </cols>
  <sheetData>
    <row r="1" spans="1:7" ht="28.8" x14ac:dyDescent="0.3">
      <c r="A1" s="12" t="s">
        <v>0</v>
      </c>
      <c r="B1" s="13" t="s">
        <v>1</v>
      </c>
      <c r="C1" s="13" t="s">
        <v>12</v>
      </c>
      <c r="D1" s="13" t="s">
        <v>2</v>
      </c>
      <c r="E1" s="13" t="s">
        <v>13</v>
      </c>
      <c r="F1" s="15" t="s">
        <v>27</v>
      </c>
      <c r="G1" s="14" t="s">
        <v>28</v>
      </c>
    </row>
    <row r="2" spans="1:7" x14ac:dyDescent="0.3">
      <c r="A2" s="4" t="s">
        <v>15</v>
      </c>
      <c r="B2" s="5">
        <v>45662</v>
      </c>
      <c r="C2" s="6">
        <v>101</v>
      </c>
      <c r="D2" s="6">
        <v>2</v>
      </c>
      <c r="E2" s="6">
        <v>2000</v>
      </c>
      <c r="F2" s="6" t="str">
        <f>TEXT(Table1[[#This Row],[OrderDate]],"mmm-yyyy")</f>
        <v>Jan-2025</v>
      </c>
      <c r="G2" s="7" t="str">
        <f>TEXT(Table1[[#This Row],[OrderDate]],"dddd")</f>
        <v>Sunday</v>
      </c>
    </row>
    <row r="3" spans="1:7" x14ac:dyDescent="0.3">
      <c r="A3" s="4" t="s">
        <v>16</v>
      </c>
      <c r="B3" s="5">
        <v>45694</v>
      </c>
      <c r="C3" s="6">
        <v>102</v>
      </c>
      <c r="D3" s="6">
        <v>1</v>
      </c>
      <c r="E3" s="6">
        <v>1500</v>
      </c>
      <c r="F3" s="6" t="str">
        <f>TEXT(Table1[[#This Row],[OrderDate]],"mmm-yyyy")</f>
        <v>Feb-2025</v>
      </c>
      <c r="G3" s="7" t="str">
        <f>TEXT(Table1[[#This Row],[OrderDate]],"dddd")</f>
        <v>Thursday</v>
      </c>
    </row>
    <row r="4" spans="1:7" x14ac:dyDescent="0.3">
      <c r="A4" s="4" t="s">
        <v>17</v>
      </c>
      <c r="B4" s="5">
        <v>45695</v>
      </c>
      <c r="C4" s="6">
        <v>103</v>
      </c>
      <c r="D4" s="6">
        <v>3</v>
      </c>
      <c r="E4" s="6">
        <v>4500</v>
      </c>
      <c r="F4" s="6" t="str">
        <f>TEXT(Table1[[#This Row],[OrderDate]],"mmm-yyyy")</f>
        <v>Feb-2025</v>
      </c>
      <c r="G4" s="7" t="str">
        <f>TEXT(Table1[[#This Row],[OrderDate]],"dddd")</f>
        <v>Friday</v>
      </c>
    </row>
    <row r="5" spans="1:7" x14ac:dyDescent="0.3">
      <c r="A5" s="4" t="s">
        <v>18</v>
      </c>
      <c r="B5" s="5">
        <v>45724</v>
      </c>
      <c r="C5" s="6">
        <v>104</v>
      </c>
      <c r="D5" s="6">
        <v>1</v>
      </c>
      <c r="E5" s="6">
        <v>1000</v>
      </c>
      <c r="F5" s="6" t="str">
        <f>TEXT(Table1[[#This Row],[OrderDate]],"mmm-yyyy")</f>
        <v>Mar-2025</v>
      </c>
      <c r="G5" s="7" t="str">
        <f>TEXT(Table1[[#This Row],[OrderDate]],"dddd")</f>
        <v>Saturday</v>
      </c>
    </row>
    <row r="6" spans="1:7" x14ac:dyDescent="0.3">
      <c r="A6" s="4" t="s">
        <v>19</v>
      </c>
      <c r="B6" s="5">
        <v>45725</v>
      </c>
      <c r="C6" s="6">
        <v>105</v>
      </c>
      <c r="D6" s="6">
        <v>2</v>
      </c>
      <c r="E6" s="6">
        <v>3000</v>
      </c>
      <c r="F6" s="6" t="str">
        <f>TEXT(Table1[[#This Row],[OrderDate]],"mmm-yyyy")</f>
        <v>Mar-2025</v>
      </c>
      <c r="G6" s="7" t="str">
        <f>TEXT(Table1[[#This Row],[OrderDate]],"dddd")</f>
        <v>Sunday</v>
      </c>
    </row>
    <row r="7" spans="1:7" x14ac:dyDescent="0.3">
      <c r="A7" s="4" t="s">
        <v>14</v>
      </c>
      <c r="B7" s="5">
        <v>45757</v>
      </c>
      <c r="C7" s="6">
        <v>106</v>
      </c>
      <c r="D7" s="6">
        <v>4</v>
      </c>
      <c r="E7" s="6">
        <v>6000</v>
      </c>
      <c r="F7" s="6" t="str">
        <f>TEXT(Table1[[#This Row],[OrderDate]],"mmm-yyyy")</f>
        <v>Apr-2025</v>
      </c>
      <c r="G7" s="7" t="str">
        <f>TEXT(Table1[[#This Row],[OrderDate]],"dddd")</f>
        <v>Thursday</v>
      </c>
    </row>
    <row r="8" spans="1:7" x14ac:dyDescent="0.3">
      <c r="A8" s="4" t="s">
        <v>20</v>
      </c>
      <c r="B8" s="5">
        <v>45788</v>
      </c>
      <c r="C8" s="6">
        <v>107</v>
      </c>
      <c r="D8" s="6">
        <v>2</v>
      </c>
      <c r="E8" s="6">
        <v>3000</v>
      </c>
      <c r="F8" s="6" t="str">
        <f>TEXT(Table1[[#This Row],[OrderDate]],"mmm-yyyy")</f>
        <v>May-2025</v>
      </c>
      <c r="G8" s="7" t="str">
        <f>TEXT(Table1[[#This Row],[OrderDate]],"dddd")</f>
        <v>Sunday</v>
      </c>
    </row>
    <row r="9" spans="1:7" x14ac:dyDescent="0.3">
      <c r="A9" s="4" t="s">
        <v>21</v>
      </c>
      <c r="B9" s="5">
        <v>45789</v>
      </c>
      <c r="C9" s="6">
        <v>108</v>
      </c>
      <c r="D9" s="6">
        <v>1</v>
      </c>
      <c r="E9" s="6">
        <v>1500</v>
      </c>
      <c r="F9" s="6" t="str">
        <f>TEXT(Table1[[#This Row],[OrderDate]],"mmm-yyyy")</f>
        <v>May-2025</v>
      </c>
      <c r="G9" s="7" t="str">
        <f>TEXT(Table1[[#This Row],[OrderDate]],"dddd")</f>
        <v>Monday</v>
      </c>
    </row>
    <row r="10" spans="1:7" x14ac:dyDescent="0.3">
      <c r="A10" s="4" t="s">
        <v>44</v>
      </c>
      <c r="B10" s="5">
        <v>45821</v>
      </c>
      <c r="C10" s="6">
        <v>109</v>
      </c>
      <c r="D10" s="6">
        <v>3</v>
      </c>
      <c r="E10" s="6">
        <v>3000</v>
      </c>
      <c r="F10" s="6" t="str">
        <f>TEXT(Table1[[#This Row],[OrderDate]],"mmm-yyyy")</f>
        <v>Jun-2025</v>
      </c>
      <c r="G10" s="7" t="str">
        <f>TEXT(Table1[[#This Row],[OrderDate]],"dddd")</f>
        <v>Friday</v>
      </c>
    </row>
    <row r="11" spans="1:7" x14ac:dyDescent="0.3">
      <c r="A11" s="8" t="s">
        <v>45</v>
      </c>
      <c r="B11" s="9">
        <v>45852</v>
      </c>
      <c r="C11" s="10">
        <v>110</v>
      </c>
      <c r="D11" s="10">
        <v>2</v>
      </c>
      <c r="E11" s="10">
        <v>3000</v>
      </c>
      <c r="F11" s="10" t="str">
        <f>TEXT(Table1[[#This Row],[OrderDate]],"mmm-yyyy")</f>
        <v>Jul-2025</v>
      </c>
      <c r="G11" s="11" t="str">
        <f>TEXT(Table1[[#This Row],[OrderDate]],"dddd")</f>
        <v>Monday</v>
      </c>
    </row>
    <row r="12" spans="1:7" x14ac:dyDescent="0.3">
      <c r="A12" s="8"/>
      <c r="B12" s="9"/>
      <c r="C12" s="10"/>
      <c r="D12" s="10" t="s">
        <v>50</v>
      </c>
      <c r="E12" s="10">
        <f>AVERAGE(E2:E11)</f>
        <v>2850</v>
      </c>
      <c r="F12" s="35"/>
      <c r="G12" s="36"/>
    </row>
  </sheetData>
  <conditionalFormatting sqref="B2:G11">
    <cfRule type="dataBar" priority="1">
      <dataBar>
        <cfvo type="min"/>
        <cfvo type="max"/>
        <color rgb="FF638EC6"/>
      </dataBar>
      <extLst>
        <ext xmlns:x14="http://schemas.microsoft.com/office/spreadsheetml/2009/9/main" uri="{B025F937-C7B1-47D3-B67F-A62EFF666E3E}">
          <x14:id>{A82EC7A7-FA7E-4A49-808A-361583534CFD}</x14:id>
        </ext>
      </extLst>
    </cfRule>
    <cfRule type="iconSet" priority="2">
      <iconSet iconSet="3Arrows">
        <cfvo type="percent" val="0"/>
        <cfvo type="percent" val="33"/>
        <cfvo type="percent" val="67"/>
      </iconSet>
    </cfRule>
    <cfRule type="colorScale" priority="3">
      <colorScale>
        <cfvo type="min"/>
        <cfvo type="percentile" val="50"/>
        <cfvo type="max"/>
        <color rgb="FFF8696B"/>
        <color rgb="FFFCFCFF"/>
        <color rgb="FF63BE7B"/>
      </colorScale>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82EC7A7-FA7E-4A49-808A-361583534CFD}">
            <x14:dataBar minLength="0" maxLength="100" gradient="0">
              <x14:cfvo type="autoMin"/>
              <x14:cfvo type="autoMax"/>
              <x14:negativeFillColor rgb="FFFF0000"/>
              <x14:axisColor rgb="FF000000"/>
            </x14:dataBar>
          </x14:cfRule>
          <xm:sqref>B2:G11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election activeCell="B3" sqref="A2:C11"/>
    </sheetView>
  </sheetViews>
  <sheetFormatPr defaultRowHeight="14.4" x14ac:dyDescent="0.3"/>
  <cols>
    <col min="1" max="1" width="14" customWidth="1"/>
    <col min="2" max="2" width="17.88671875" customWidth="1"/>
    <col min="3" max="3" width="13.44140625" customWidth="1"/>
  </cols>
  <sheetData>
    <row r="1" spans="1:3" x14ac:dyDescent="0.3">
      <c r="A1" s="1" t="s">
        <v>12</v>
      </c>
      <c r="B1" s="2" t="s">
        <v>25</v>
      </c>
      <c r="C1" s="3" t="s">
        <v>3</v>
      </c>
    </row>
    <row r="2" spans="1:3" x14ac:dyDescent="0.3">
      <c r="A2" s="4">
        <v>101</v>
      </c>
      <c r="B2" s="6" t="s">
        <v>4</v>
      </c>
      <c r="C2" s="7" t="s">
        <v>5</v>
      </c>
    </row>
    <row r="3" spans="1:3" x14ac:dyDescent="0.3">
      <c r="A3" s="4">
        <v>102</v>
      </c>
      <c r="B3" s="6" t="s">
        <v>6</v>
      </c>
      <c r="C3" s="7" t="s">
        <v>5</v>
      </c>
    </row>
    <row r="4" spans="1:3" x14ac:dyDescent="0.3">
      <c r="A4" s="4">
        <v>103</v>
      </c>
      <c r="B4" s="6" t="s">
        <v>22</v>
      </c>
      <c r="C4" s="7" t="s">
        <v>7</v>
      </c>
    </row>
    <row r="5" spans="1:3" x14ac:dyDescent="0.3">
      <c r="A5" s="8">
        <v>104</v>
      </c>
      <c r="B5" s="10" t="s">
        <v>23</v>
      </c>
      <c r="C5" s="11" t="s">
        <v>7</v>
      </c>
    </row>
    <row r="6" spans="1:3" x14ac:dyDescent="0.3">
      <c r="A6" s="8">
        <v>105</v>
      </c>
      <c r="B6" s="10" t="s">
        <v>24</v>
      </c>
      <c r="C6" s="11" t="s">
        <v>5</v>
      </c>
    </row>
    <row r="7" spans="1:3" x14ac:dyDescent="0.3">
      <c r="A7" s="8">
        <v>106</v>
      </c>
      <c r="B7" s="10" t="s">
        <v>39</v>
      </c>
      <c r="C7" s="11" t="s">
        <v>5</v>
      </c>
    </row>
    <row r="8" spans="1:3" x14ac:dyDescent="0.3">
      <c r="A8" s="8">
        <v>107</v>
      </c>
      <c r="B8" s="10" t="s">
        <v>40</v>
      </c>
      <c r="C8" s="11" t="s">
        <v>5</v>
      </c>
    </row>
    <row r="9" spans="1:3" x14ac:dyDescent="0.3">
      <c r="A9" s="8">
        <v>108</v>
      </c>
      <c r="B9" s="10" t="s">
        <v>41</v>
      </c>
      <c r="C9" s="11" t="s">
        <v>7</v>
      </c>
    </row>
    <row r="10" spans="1:3" x14ac:dyDescent="0.3">
      <c r="A10" s="8">
        <v>109</v>
      </c>
      <c r="B10" s="10" t="s">
        <v>42</v>
      </c>
      <c r="C10" s="11" t="s">
        <v>7</v>
      </c>
    </row>
    <row r="11" spans="1:3" x14ac:dyDescent="0.3">
      <c r="A11" s="8">
        <v>110</v>
      </c>
      <c r="B11" s="10" t="s">
        <v>43</v>
      </c>
      <c r="C11" s="11" t="s">
        <v>5</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election activeCell="D4" sqref="D4"/>
    </sheetView>
  </sheetViews>
  <sheetFormatPr defaultRowHeight="14.4" x14ac:dyDescent="0.3"/>
  <cols>
    <col min="1" max="1" width="12.77734375" customWidth="1"/>
    <col min="2" max="2" width="17" customWidth="1"/>
  </cols>
  <sheetData>
    <row r="1" spans="1:2" x14ac:dyDescent="0.3">
      <c r="A1" s="1" t="s">
        <v>12</v>
      </c>
      <c r="B1" s="3" t="s">
        <v>26</v>
      </c>
    </row>
    <row r="2" spans="1:2" x14ac:dyDescent="0.3">
      <c r="A2" s="4">
        <v>101</v>
      </c>
      <c r="B2" s="7" t="s">
        <v>8</v>
      </c>
    </row>
    <row r="3" spans="1:2" x14ac:dyDescent="0.3">
      <c r="A3" s="4">
        <v>102</v>
      </c>
      <c r="B3" s="7" t="s">
        <v>9</v>
      </c>
    </row>
    <row r="4" spans="1:2" x14ac:dyDescent="0.3">
      <c r="A4" s="4">
        <v>103</v>
      </c>
      <c r="B4" s="7" t="s">
        <v>10</v>
      </c>
    </row>
    <row r="5" spans="1:2" x14ac:dyDescent="0.3">
      <c r="A5" s="8">
        <v>104</v>
      </c>
      <c r="B5" s="11" t="s">
        <v>11</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15D4E-2C61-4A3E-9B59-D117F875C3F4}">
  <dimension ref="A2:N30"/>
  <sheetViews>
    <sheetView topLeftCell="A8" workbookViewId="0">
      <selection activeCell="A48" sqref="A48"/>
    </sheetView>
  </sheetViews>
  <sheetFormatPr defaultRowHeight="14.4" x14ac:dyDescent="0.3"/>
  <cols>
    <col min="1" max="1" width="38.21875" style="23" customWidth="1"/>
    <col min="2" max="2" width="3.77734375" style="23" customWidth="1"/>
    <col min="3" max="3" width="16.21875" style="19" customWidth="1"/>
    <col min="4" max="4" width="17.33203125" style="19" customWidth="1"/>
    <col min="5" max="5" width="8.88671875" style="19"/>
    <col min="6" max="6" width="16.77734375" style="19" customWidth="1"/>
    <col min="7" max="7" width="17.5546875" style="19" customWidth="1"/>
    <col min="8" max="8" width="8.88671875" style="19"/>
    <col min="9" max="9" width="12.33203125" style="19" customWidth="1"/>
    <col min="10" max="10" width="16.6640625" style="19" customWidth="1"/>
    <col min="11" max="13" width="8.88671875" style="19"/>
    <col min="14" max="14" width="10.6640625" style="19" customWidth="1"/>
    <col min="15" max="16384" width="8.88671875" style="19"/>
  </cols>
  <sheetData>
    <row r="2" spans="3:14" ht="58.8" x14ac:dyDescent="1.7">
      <c r="E2" s="29"/>
      <c r="F2" s="30" t="s">
        <v>47</v>
      </c>
      <c r="G2" s="31"/>
      <c r="H2" s="31"/>
      <c r="I2" s="28"/>
      <c r="J2" s="28"/>
      <c r="K2" s="28"/>
      <c r="L2" s="22"/>
    </row>
    <row r="3" spans="3:14" ht="14.4" customHeight="1" x14ac:dyDescent="1.7">
      <c r="G3" s="22"/>
      <c r="H3" s="20" t="s">
        <v>47</v>
      </c>
      <c r="I3" s="21"/>
      <c r="J3" s="21"/>
      <c r="K3" s="21"/>
      <c r="L3" s="21"/>
      <c r="M3" s="21"/>
    </row>
    <row r="4" spans="3:14" ht="14.4" customHeight="1" x14ac:dyDescent="0.85">
      <c r="H4" s="21"/>
      <c r="I4" s="21"/>
      <c r="J4" s="21"/>
      <c r="K4" s="21"/>
      <c r="L4" s="21"/>
      <c r="M4" s="21"/>
    </row>
    <row r="5" spans="3:14" ht="28.8" x14ac:dyDescent="0.3">
      <c r="C5" s="26" t="s">
        <v>29</v>
      </c>
      <c r="D5" s="27" t="s">
        <v>38</v>
      </c>
      <c r="F5" s="26" t="s">
        <v>29</v>
      </c>
      <c r="G5" s="27" t="s">
        <v>38</v>
      </c>
      <c r="I5" s="26" t="s">
        <v>38</v>
      </c>
      <c r="J5" s="26" t="s">
        <v>46</v>
      </c>
      <c r="K5" s="6"/>
      <c r="L5" s="6"/>
      <c r="M5" s="6"/>
      <c r="N5" s="6"/>
    </row>
    <row r="6" spans="3:14" x14ac:dyDescent="0.3">
      <c r="C6" s="6" t="s">
        <v>30</v>
      </c>
      <c r="D6" s="25">
        <v>6000</v>
      </c>
      <c r="F6" s="6" t="s">
        <v>22</v>
      </c>
      <c r="G6" s="25">
        <v>4500</v>
      </c>
      <c r="I6" s="24" t="s">
        <v>29</v>
      </c>
      <c r="J6" s="6" t="s">
        <v>11</v>
      </c>
      <c r="K6" s="6" t="s">
        <v>8</v>
      </c>
      <c r="L6" s="6" t="s">
        <v>9</v>
      </c>
      <c r="M6" s="6" t="s">
        <v>10</v>
      </c>
      <c r="N6" s="6" t="s">
        <v>37</v>
      </c>
    </row>
    <row r="7" spans="3:14" x14ac:dyDescent="0.3">
      <c r="C7" s="6" t="s">
        <v>31</v>
      </c>
      <c r="D7" s="25">
        <v>6000</v>
      </c>
      <c r="F7" s="6" t="s">
        <v>42</v>
      </c>
      <c r="G7" s="25">
        <v>3000</v>
      </c>
      <c r="I7" s="6" t="s">
        <v>5</v>
      </c>
      <c r="J7" s="25"/>
      <c r="K7" s="25">
        <v>2000</v>
      </c>
      <c r="L7" s="25">
        <v>1500</v>
      </c>
      <c r="M7" s="25"/>
      <c r="N7" s="25">
        <v>3500</v>
      </c>
    </row>
    <row r="8" spans="3:14" x14ac:dyDescent="0.3">
      <c r="C8" s="6" t="s">
        <v>32</v>
      </c>
      <c r="D8" s="25">
        <v>2000</v>
      </c>
      <c r="F8" s="6" t="s">
        <v>43</v>
      </c>
      <c r="G8" s="25">
        <v>3000</v>
      </c>
      <c r="I8" s="6" t="s">
        <v>7</v>
      </c>
      <c r="J8" s="25">
        <v>1000</v>
      </c>
      <c r="K8" s="25"/>
      <c r="L8" s="25"/>
      <c r="M8" s="25">
        <v>4500</v>
      </c>
      <c r="N8" s="25">
        <v>5500</v>
      </c>
    </row>
    <row r="9" spans="3:14" x14ac:dyDescent="0.3">
      <c r="C9" s="6" t="s">
        <v>33</v>
      </c>
      <c r="D9" s="25">
        <v>3000</v>
      </c>
      <c r="F9" s="6" t="s">
        <v>39</v>
      </c>
      <c r="G9" s="25">
        <v>6000</v>
      </c>
      <c r="I9" s="6" t="s">
        <v>37</v>
      </c>
      <c r="J9" s="25">
        <v>1000</v>
      </c>
      <c r="K9" s="25">
        <v>2000</v>
      </c>
      <c r="L9" s="25">
        <v>1500</v>
      </c>
      <c r="M9" s="25">
        <v>4500</v>
      </c>
      <c r="N9" s="25">
        <v>9000</v>
      </c>
    </row>
    <row r="10" spans="3:14" x14ac:dyDescent="0.3">
      <c r="C10" s="6" t="s">
        <v>34</v>
      </c>
      <c r="D10" s="25">
        <v>3000</v>
      </c>
      <c r="F10" s="6" t="s">
        <v>24</v>
      </c>
      <c r="G10" s="25">
        <v>3000</v>
      </c>
    </row>
    <row r="11" spans="3:14" x14ac:dyDescent="0.3">
      <c r="C11" s="6" t="s">
        <v>35</v>
      </c>
      <c r="D11" s="25">
        <v>4000</v>
      </c>
      <c r="F11" s="6" t="s">
        <v>37</v>
      </c>
      <c r="G11" s="25">
        <v>19500</v>
      </c>
    </row>
    <row r="12" spans="3:14" x14ac:dyDescent="0.3">
      <c r="C12" s="6" t="s">
        <v>36</v>
      </c>
      <c r="D12" s="25">
        <v>4500</v>
      </c>
    </row>
    <row r="13" spans="3:14" x14ac:dyDescent="0.3">
      <c r="C13" s="6" t="s">
        <v>37</v>
      </c>
      <c r="D13" s="25">
        <v>28500</v>
      </c>
    </row>
    <row r="29" ht="5.4" customHeight="1" x14ac:dyDescent="0.3"/>
    <row r="30" ht="15" customHeight="1" x14ac:dyDescent="0.3"/>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9FCAC-8E44-49E1-82FB-3CD3944ECE6C}">
  <dimension ref="A1:B43"/>
  <sheetViews>
    <sheetView tabSelected="1" topLeftCell="A12" workbookViewId="0">
      <selection activeCell="K32" sqref="K32"/>
    </sheetView>
  </sheetViews>
  <sheetFormatPr defaultRowHeight="14.4" x14ac:dyDescent="0.3"/>
  <cols>
    <col min="1" max="1" width="13.77734375" customWidth="1"/>
    <col min="2" max="2" width="21.6640625" customWidth="1"/>
  </cols>
  <sheetData>
    <row r="1" spans="1:2" x14ac:dyDescent="0.3">
      <c r="A1" s="37" t="s">
        <v>54</v>
      </c>
      <c r="B1" s="37"/>
    </row>
    <row r="2" spans="1:2" x14ac:dyDescent="0.3">
      <c r="A2" s="37" t="s">
        <v>55</v>
      </c>
      <c r="B2" s="37"/>
    </row>
    <row r="3" spans="1:2" x14ac:dyDescent="0.3">
      <c r="A3" s="37" t="s">
        <v>56</v>
      </c>
      <c r="B3" s="37"/>
    </row>
    <row r="4" spans="1:2" x14ac:dyDescent="0.3">
      <c r="A4" s="37" t="s">
        <v>57</v>
      </c>
      <c r="B4" s="37"/>
    </row>
    <row r="5" spans="1:2" x14ac:dyDescent="0.3">
      <c r="A5" s="37" t="s">
        <v>58</v>
      </c>
      <c r="B5" s="37"/>
    </row>
    <row r="6" spans="1:2" x14ac:dyDescent="0.3">
      <c r="A6" s="37" t="s">
        <v>59</v>
      </c>
      <c r="B6" s="37"/>
    </row>
    <row r="7" spans="1:2" x14ac:dyDescent="0.3">
      <c r="A7" s="37"/>
      <c r="B7" s="37"/>
    </row>
    <row r="8" spans="1:2" ht="15.6" x14ac:dyDescent="0.3">
      <c r="A8" s="38" t="s">
        <v>60</v>
      </c>
    </row>
    <row r="9" spans="1:2" ht="25.2" customHeight="1" x14ac:dyDescent="0.3">
      <c r="A9" t="s">
        <v>61</v>
      </c>
    </row>
    <row r="10" spans="1:2" x14ac:dyDescent="0.3">
      <c r="A10" t="s">
        <v>62</v>
      </c>
    </row>
    <row r="11" spans="1:2" x14ac:dyDescent="0.3">
      <c r="A11" t="s">
        <v>63</v>
      </c>
    </row>
    <row r="12" spans="1:2" x14ac:dyDescent="0.3">
      <c r="A12" t="s">
        <v>64</v>
      </c>
    </row>
    <row r="15" spans="1:2" s="37" customFormat="1" x14ac:dyDescent="0.3">
      <c r="A15" s="37" t="s">
        <v>65</v>
      </c>
    </row>
    <row r="16" spans="1:2" s="37" customFormat="1" x14ac:dyDescent="0.3"/>
    <row r="17" spans="1:1" s="37" customFormat="1" x14ac:dyDescent="0.3">
      <c r="A17" s="37" t="s">
        <v>66</v>
      </c>
    </row>
    <row r="18" spans="1:1" s="37" customFormat="1" x14ac:dyDescent="0.3">
      <c r="A18" s="37" t="s">
        <v>67</v>
      </c>
    </row>
    <row r="19" spans="1:1" s="37" customFormat="1" x14ac:dyDescent="0.3"/>
    <row r="20" spans="1:1" s="37" customFormat="1" x14ac:dyDescent="0.3">
      <c r="A20" s="37" t="s">
        <v>68</v>
      </c>
    </row>
    <row r="21" spans="1:1" s="37" customFormat="1" x14ac:dyDescent="0.3">
      <c r="A21" s="37" t="s">
        <v>69</v>
      </c>
    </row>
    <row r="22" spans="1:1" s="37" customFormat="1" x14ac:dyDescent="0.3"/>
    <row r="23" spans="1:1" s="37" customFormat="1" x14ac:dyDescent="0.3">
      <c r="A23" s="37" t="s">
        <v>70</v>
      </c>
    </row>
    <row r="24" spans="1:1" s="37" customFormat="1" x14ac:dyDescent="0.3">
      <c r="A24" s="37" t="s">
        <v>71</v>
      </c>
    </row>
    <row r="25" spans="1:1" s="37" customFormat="1" x14ac:dyDescent="0.3"/>
    <row r="26" spans="1:1" s="37" customFormat="1" x14ac:dyDescent="0.3">
      <c r="A26" s="37" t="s">
        <v>72</v>
      </c>
    </row>
    <row r="27" spans="1:1" s="37" customFormat="1" x14ac:dyDescent="0.3"/>
    <row r="28" spans="1:1" s="37" customFormat="1" x14ac:dyDescent="0.3">
      <c r="A28" s="37" t="s">
        <v>73</v>
      </c>
    </row>
    <row r="29" spans="1:1" ht="17.399999999999999" customHeight="1" x14ac:dyDescent="0.3">
      <c r="A29" s="37" t="s">
        <v>74</v>
      </c>
    </row>
    <row r="30" spans="1:1" ht="17.399999999999999" customHeight="1" x14ac:dyDescent="0.3">
      <c r="A30" s="37"/>
    </row>
    <row r="31" spans="1:1" x14ac:dyDescent="0.3">
      <c r="A31" s="37" t="s">
        <v>75</v>
      </c>
    </row>
    <row r="32" spans="1:1" x14ac:dyDescent="0.3">
      <c r="A32" s="37" t="s">
        <v>76</v>
      </c>
    </row>
    <row r="33" spans="1:2" x14ac:dyDescent="0.3">
      <c r="A33" s="37" t="s">
        <v>77</v>
      </c>
    </row>
    <row r="34" spans="1:2" x14ac:dyDescent="0.3">
      <c r="A34" s="37" t="s">
        <v>78</v>
      </c>
    </row>
    <row r="36" spans="1:2" x14ac:dyDescent="0.3">
      <c r="A36" s="37" t="s">
        <v>79</v>
      </c>
    </row>
    <row r="37" spans="1:2" x14ac:dyDescent="0.3">
      <c r="A37" s="37" t="s">
        <v>80</v>
      </c>
    </row>
    <row r="38" spans="1:2" x14ac:dyDescent="0.3">
      <c r="A38" s="37" t="s">
        <v>81</v>
      </c>
      <c r="B38" s="37" t="s">
        <v>82</v>
      </c>
    </row>
    <row r="40" spans="1:2" x14ac:dyDescent="0.3">
      <c r="A40" s="37" t="s">
        <v>83</v>
      </c>
    </row>
    <row r="41" spans="1:2" x14ac:dyDescent="0.3">
      <c r="A41" s="37" t="s">
        <v>84</v>
      </c>
    </row>
    <row r="42" spans="1:2" x14ac:dyDescent="0.3">
      <c r="A42" s="37" t="s">
        <v>85</v>
      </c>
    </row>
    <row r="43" spans="1:2" x14ac:dyDescent="0.3">
      <c r="A43" s="37" t="s">
        <v>86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Quick  Analysis</vt:lpstr>
      <vt:lpstr>Sales</vt:lpstr>
      <vt:lpstr>Products</vt:lpstr>
      <vt:lpstr>Regions</vt:lpstr>
      <vt:lpstr>Sales Dashboard</vt:lpstr>
      <vt:lpstr>Justify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chaithanya ellath kuruvalan</cp:lastModifiedBy>
  <dcterms:created xsi:type="dcterms:W3CDTF">2026-02-06T13:08:52Z</dcterms:created>
  <dcterms:modified xsi:type="dcterms:W3CDTF">2026-02-07T15:41:02Z</dcterms:modified>
</cp:coreProperties>
</file>