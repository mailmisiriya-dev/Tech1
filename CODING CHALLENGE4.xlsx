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marha\Desktop\"/>
    </mc:Choice>
  </mc:AlternateContent>
  <xr:revisionPtr revIDLastSave="0" documentId="13_ncr:1_{9DD5C37E-6894-44CE-9889-DCB9D86F2323}" xr6:coauthVersionLast="47" xr6:coauthVersionMax="47" xr10:uidLastSave="{00000000-0000-0000-0000-000000000000}"/>
  <bookViews>
    <workbookView xWindow="-120" yWindow="-120" windowWidth="20730" windowHeight="11040" xr2:uid="{6331E6C9-DFAB-4383-B9A3-31327BA0E091}"/>
  </bookViews>
  <sheets>
    <sheet name="Data_Model" sheetId="4" r:id="rId1"/>
    <sheet name="DASHBOARD" sheetId="6" r:id="rId2"/>
    <sheet name="Pivot charts" sheetId="5" r:id="rId3"/>
    <sheet name="Sales_Table" sheetId="1" r:id="rId4"/>
    <sheet name="Product_Table" sheetId="2" r:id="rId5"/>
    <sheet name="REgions" sheetId="3" r:id="rId6"/>
  </sheets>
  <definedNames>
    <definedName name="_xlcn.WorksheetConnection_Book1Table11" hidden="1">Table1[]</definedName>
    <definedName name="_xlcn.WorksheetConnection_Book1Table21" hidden="1">Table2[]</definedName>
    <definedName name="_xlcn.WorksheetConnection_Book1Table31" hidden="1">Table3[]</definedName>
    <definedName name="Slicer_Category">#N/A</definedName>
    <definedName name="Slicer_ProductName">#N/A</definedName>
    <definedName name="Slicer_RegionName">#N/A</definedName>
    <definedName name="Timeline_OrderDate">#N/A</definedName>
  </definedNames>
  <calcPr calcId="191029"/>
  <pivotCaches>
    <pivotCache cacheId="127" r:id="rId7"/>
    <pivotCache cacheId="1493" r:id="rId8"/>
    <pivotCache cacheId="1532" r:id="rId9"/>
    <pivotCache cacheId="1535" r:id="rId10"/>
    <pivotCache cacheId="1538" r:id="rId11"/>
    <pivotCache cacheId="1541" r:id="rId12"/>
    <pivotCache cacheId="1544" r:id="rId13"/>
    <pivotCache cacheId="1547" r:id="rId14"/>
    <pivotCache cacheId="1550" r:id="rId15"/>
    <pivotCache cacheId="1553" r:id="rId16"/>
    <pivotCache cacheId="1558" r:id="rId17"/>
  </pivotCaches>
  <extLst>
    <ext xmlns:x14="http://schemas.microsoft.com/office/spreadsheetml/2009/9/main" uri="{876F7934-8845-4945-9796-88D515C7AA90}">
      <x14:pivotCaches>
        <pivotCache cacheId="214"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89"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 id="Table2" name="Table2" connection="WorksheetConnection_Book1!Table2"/>
          <x15:modelTable id="Table3" name="Table3" connection="WorksheetConnection_Book1!Table3"/>
        </x15:modelTables>
        <x15:modelRelationships>
          <x15:modelRelationship fromTable="Table1" fromColumn="ProductID" toTable="Table2" toColumn="ProductID"/>
          <x15:modelRelationship fromTable="Table1" fromColumn="RegionID" toTable="Table3" toColumn="Regio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K2" i="1"/>
  <c r="K3" i="1"/>
  <c r="K4" i="1"/>
  <c r="K5" i="1"/>
  <c r="K6" i="1"/>
  <c r="K7" i="1"/>
  <c r="K8" i="1"/>
  <c r="K9" i="1"/>
  <c r="K10" i="1"/>
  <c r="K11" i="1"/>
  <c r="K12" i="1"/>
  <c r="K13" i="1"/>
  <c r="J2" i="1"/>
  <c r="J3" i="1"/>
  <c r="J4" i="1"/>
  <c r="J5" i="1"/>
  <c r="J6" i="1"/>
  <c r="J7" i="1"/>
  <c r="J8" i="1"/>
  <c r="J9" i="1"/>
  <c r="J10" i="1"/>
  <c r="J11" i="1"/>
  <c r="J12" i="1"/>
  <c r="J13" i="1"/>
  <c r="I2" i="1"/>
  <c r="I3" i="1"/>
  <c r="I4" i="1"/>
  <c r="I5" i="1"/>
  <c r="I6" i="1"/>
  <c r="I7" i="1"/>
  <c r="I8" i="1"/>
  <c r="I9" i="1"/>
  <c r="I10" i="1"/>
  <c r="I11" i="1"/>
  <c r="I12" i="1"/>
  <c r="I13" i="1"/>
  <c r="H2" i="1"/>
  <c r="H3" i="1"/>
  <c r="H4" i="1"/>
  <c r="H5" i="1"/>
  <c r="H6" i="1"/>
  <c r="H7" i="1"/>
  <c r="H8" i="1"/>
  <c r="H9" i="1"/>
  <c r="H10" i="1"/>
  <c r="H11" i="1"/>
  <c r="H12" i="1"/>
  <c r="H13" i="1"/>
  <c r="G2" i="1"/>
  <c r="G3" i="1"/>
  <c r="G4" i="1"/>
  <c r="G5" i="1"/>
  <c r="G6" i="1"/>
  <c r="G7" i="1"/>
  <c r="G8" i="1"/>
  <c r="G9" i="1"/>
  <c r="G10" i="1"/>
  <c r="G11" i="1"/>
  <c r="G12" i="1"/>
  <c r="G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186039-12DB-4BAE-B416-3387F2A0B6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D68C24E-0E86-4A93-9E17-BF1052296DB9}"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 id="3" xr16:uid="{D453947B-A0A3-4060-81D8-F0EEF39154A5}" name="WorksheetConnection_Book1!Table2" type="102" refreshedVersion="8" minRefreshableVersion="5">
    <extLst>
      <ext xmlns:x15="http://schemas.microsoft.com/office/spreadsheetml/2010/11/main" uri="{DE250136-89BD-433C-8126-D09CA5730AF9}">
        <x15:connection id="Table2">
          <x15:rangePr sourceName="_xlcn.WorksheetConnection_Book1Table21"/>
        </x15:connection>
      </ext>
    </extLst>
  </connection>
  <connection id="4" xr16:uid="{D31FED3D-7646-49D7-AD53-5B3E556737FA}" name="WorksheetConnection_Book1!Table3" type="102" refreshedVersion="8" minRefreshableVersion="5">
    <extLst>
      <ext xmlns:x15="http://schemas.microsoft.com/office/spreadsheetml/2010/11/main" uri="{DE250136-89BD-433C-8126-D09CA5730AF9}">
        <x15:connection id="Table3">
          <x15:rangePr sourceName="_xlcn.WorksheetConnection_Book1Table31"/>
        </x15:connection>
      </ext>
    </extLst>
  </connection>
</connections>
</file>

<file path=xl/sharedStrings.xml><?xml version="1.0" encoding="utf-8"?>
<sst xmlns="http://schemas.openxmlformats.org/spreadsheetml/2006/main" count="207" uniqueCount="72">
  <si>
    <t>OrderID</t>
  </si>
  <si>
    <t>OrderDate</t>
  </si>
  <si>
    <t>ProductID</t>
  </si>
  <si>
    <t>RegionID</t>
  </si>
  <si>
    <t>Quantity</t>
  </si>
  <si>
    <t>SalesAmount</t>
  </si>
  <si>
    <t>O001</t>
  </si>
  <si>
    <t>P101</t>
  </si>
  <si>
    <t>R01</t>
  </si>
  <si>
    <t>O002</t>
  </si>
  <si>
    <t>P102</t>
  </si>
  <si>
    <t>R02</t>
  </si>
  <si>
    <t>O003</t>
  </si>
  <si>
    <t>P103</t>
  </si>
  <si>
    <t>O004</t>
  </si>
  <si>
    <t>P104</t>
  </si>
  <si>
    <t>R03</t>
  </si>
  <si>
    <t>O005</t>
  </si>
  <si>
    <t>P105</t>
  </si>
  <si>
    <t>O006</t>
  </si>
  <si>
    <t>O007</t>
  </si>
  <si>
    <t>O008</t>
  </si>
  <si>
    <t>O009</t>
  </si>
  <si>
    <t>O010</t>
  </si>
  <si>
    <t>O011</t>
  </si>
  <si>
    <t>O012</t>
  </si>
  <si>
    <t>ProductName</t>
  </si>
  <si>
    <t>Category</t>
  </si>
  <si>
    <t>Price</t>
  </si>
  <si>
    <t>Wireless Mouse</t>
  </si>
  <si>
    <t>Electronics</t>
  </si>
  <si>
    <t>Bluetooth Speaker</t>
  </si>
  <si>
    <t>Notebook</t>
  </si>
  <si>
    <t>Stationery</t>
  </si>
  <si>
    <t>Office Chair</t>
  </si>
  <si>
    <t>Furniture</t>
  </si>
  <si>
    <t>Water Bottle</t>
  </si>
  <si>
    <t>Accessories</t>
  </si>
  <si>
    <t>RegionName</t>
  </si>
  <si>
    <t>North</t>
  </si>
  <si>
    <t>South</t>
  </si>
  <si>
    <t>West</t>
  </si>
  <si>
    <t>Month</t>
  </si>
  <si>
    <t>Month No</t>
  </si>
  <si>
    <t>WeekDay</t>
  </si>
  <si>
    <t>Weekday  no</t>
  </si>
  <si>
    <t>Year</t>
  </si>
  <si>
    <t>Quarter</t>
  </si>
  <si>
    <t>Row Labels</t>
  </si>
  <si>
    <t>Grand Total</t>
  </si>
  <si>
    <t>Column Labels</t>
  </si>
  <si>
    <t>Sum of SalesAmount</t>
  </si>
  <si>
    <t>Jan</t>
  </si>
  <si>
    <t>Feb</t>
  </si>
  <si>
    <t>Mar</t>
  </si>
  <si>
    <t>week Day Sales Performance</t>
  </si>
  <si>
    <t>Sun</t>
  </si>
  <si>
    <t>Mon</t>
  </si>
  <si>
    <t>Tue</t>
  </si>
  <si>
    <t>Wed</t>
  </si>
  <si>
    <t>Thu</t>
  </si>
  <si>
    <t>Fri</t>
  </si>
  <si>
    <t>Sat</t>
  </si>
  <si>
    <t>Top 5 Product Sales</t>
  </si>
  <si>
    <t>Monthly sales Trend</t>
  </si>
  <si>
    <t xml:space="preserve">Sales Contribution By category </t>
  </si>
  <si>
    <t>Sales Contribution By Region</t>
  </si>
  <si>
    <t>SALES DASHBOARD</t>
  </si>
  <si>
    <t>TOTAL SALES</t>
  </si>
  <si>
    <t>TOTAL ORDERS</t>
  </si>
  <si>
    <t>TOP PRODUCT Y SALES</t>
  </si>
  <si>
    <t>TOP REGION BY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</si>
</sst>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36"/>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3" tint="0.39997558519241921"/>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Fill="1" applyAlignment="1">
      <alignment horizontal="center"/>
    </xf>
    <xf numFmtId="0" fontId="1" fillId="2" borderId="0" xfId="0" applyFont="1" applyFill="1" applyAlignment="1">
      <alignment horizontal="center"/>
    </xf>
    <xf numFmtId="0" fontId="1" fillId="2" borderId="0" xfId="0" applyFont="1" applyFill="1" applyAlignment="1"/>
    <xf numFmtId="0" fontId="0" fillId="0" borderId="0" xfId="0" applyFill="1"/>
    <xf numFmtId="0" fontId="1" fillId="0" borderId="0" xfId="0" applyFont="1" applyFill="1" applyAlignment="1"/>
    <xf numFmtId="0" fontId="1" fillId="0" borderId="0" xfId="0" applyFont="1" applyAlignment="1">
      <alignment horizontal="center"/>
    </xf>
    <xf numFmtId="0" fontId="1" fillId="3" borderId="0" xfId="0" applyFont="1" applyFill="1" applyAlignment="1">
      <alignment horizontal="center"/>
    </xf>
    <xf numFmtId="0" fontId="1" fillId="3" borderId="0" xfId="0" applyFont="1" applyFill="1" applyAlignment="1"/>
    <xf numFmtId="0" fontId="0" fillId="3" borderId="0" xfId="0" applyFill="1"/>
    <xf numFmtId="0" fontId="0" fillId="3" borderId="0" xfId="0" applyFill="1" applyAlignment="1"/>
    <xf numFmtId="0" fontId="2" fillId="3" borderId="0" xfId="0" applyFont="1" applyFill="1" applyAlignment="1">
      <alignment horizontal="center" vertical="center"/>
    </xf>
    <xf numFmtId="0" fontId="1" fillId="0" borderId="0" xfId="0" pivotButton="1" applyFont="1" applyAlignment="1">
      <alignment horizontal="center"/>
    </xf>
    <xf numFmtId="0" fontId="1" fillId="0" borderId="0" xfId="0" applyNumberFormat="1" applyFont="1" applyAlignment="1">
      <alignment horizontal="center"/>
    </xf>
  </cellXfs>
  <cellStyles count="1">
    <cellStyle name="Normal" xfId="0" builtinId="0"/>
  </cellStyles>
  <dxfs count="44">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20" formatCode="dd/mmm/yy"/>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3.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CHALLENGE4.xlsx]Pivot charts!PivotTable2</c:name>
    <c:fmtId val="8"/>
  </c:pivotSource>
  <c:chart>
    <c:title>
      <c:layout>
        <c:manualLayout>
          <c:xMode val="edge"/>
          <c:yMode val="edge"/>
          <c:x val="0.43704695811349431"/>
          <c:y val="0.1471284620890920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3015229892379"/>
          <c:y val="0.32765711978310402"/>
          <c:w val="0.70925196850393701"/>
          <c:h val="0.53209572761738111"/>
        </c:manualLayout>
      </c:layout>
      <c:lineChart>
        <c:grouping val="standard"/>
        <c:varyColors val="0"/>
        <c:ser>
          <c:idx val="0"/>
          <c:order val="0"/>
          <c:tx>
            <c:strRef>
              <c:f>'Pivot charts'!$B$3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charts'!$A$4:$A$7</c:f>
              <c:strCache>
                <c:ptCount val="3"/>
                <c:pt idx="0">
                  <c:v>Jan</c:v>
                </c:pt>
                <c:pt idx="1">
                  <c:v>Feb</c:v>
                </c:pt>
                <c:pt idx="2">
                  <c:v>Mar</c:v>
                </c:pt>
              </c:strCache>
            </c:strRef>
          </c:cat>
          <c:val>
            <c:numRef>
              <c:f>'Pivot charts'!$B$4:$B$7</c:f>
              <c:numCache>
                <c:formatCode>General</c:formatCode>
                <c:ptCount val="3"/>
                <c:pt idx="0">
                  <c:v>13193</c:v>
                </c:pt>
                <c:pt idx="1">
                  <c:v>15193</c:v>
                </c:pt>
                <c:pt idx="2">
                  <c:v>8591</c:v>
                </c:pt>
              </c:numCache>
            </c:numRef>
          </c:val>
          <c:smooth val="0"/>
          <c:extLst>
            <c:ext xmlns:c16="http://schemas.microsoft.com/office/drawing/2014/chart" uri="{C3380CC4-5D6E-409C-BE32-E72D297353CC}">
              <c16:uniqueId val="{00000000-A45B-48E1-81B7-820DDCFAE72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09124272"/>
        <c:axId val="1609129552"/>
      </c:lineChart>
      <c:catAx>
        <c:axId val="16091242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09129552"/>
        <c:crosses val="autoZero"/>
        <c:auto val="1"/>
        <c:lblAlgn val="ctr"/>
        <c:lblOffset val="100"/>
        <c:noMultiLvlLbl val="0"/>
      </c:catAx>
      <c:valAx>
        <c:axId val="1609129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912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CHALLENGE4.xlsx]Pivot charts!PivotTable3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charts'!$B$19</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charts'!$A$20:$A$27</c:f>
              <c:strCache>
                <c:ptCount val="7"/>
                <c:pt idx="0">
                  <c:v>Sun</c:v>
                </c:pt>
                <c:pt idx="1">
                  <c:v>Mon</c:v>
                </c:pt>
                <c:pt idx="2">
                  <c:v>Tue</c:v>
                </c:pt>
                <c:pt idx="3">
                  <c:v>Wed</c:v>
                </c:pt>
                <c:pt idx="4">
                  <c:v>Thu</c:v>
                </c:pt>
                <c:pt idx="5">
                  <c:v>Fri</c:v>
                </c:pt>
                <c:pt idx="6">
                  <c:v>Sat</c:v>
                </c:pt>
              </c:strCache>
            </c:strRef>
          </c:cat>
          <c:val>
            <c:numRef>
              <c:f>'Pivot charts'!$B$20:$B$27</c:f>
              <c:numCache>
                <c:formatCode>General</c:formatCode>
                <c:ptCount val="7"/>
                <c:pt idx="0">
                  <c:v>1598</c:v>
                </c:pt>
                <c:pt idx="1">
                  <c:v>2499</c:v>
                </c:pt>
                <c:pt idx="2">
                  <c:v>8097</c:v>
                </c:pt>
                <c:pt idx="3">
                  <c:v>10596</c:v>
                </c:pt>
                <c:pt idx="4">
                  <c:v>6999</c:v>
                </c:pt>
                <c:pt idx="5">
                  <c:v>1497</c:v>
                </c:pt>
                <c:pt idx="6">
                  <c:v>5691</c:v>
                </c:pt>
              </c:numCache>
            </c:numRef>
          </c:val>
          <c:extLst>
            <c:ext xmlns:c16="http://schemas.microsoft.com/office/drawing/2014/chart" uri="{C3380CC4-5D6E-409C-BE32-E72D297353CC}">
              <c16:uniqueId val="{00000000-BFBD-40A5-AD6C-03D6F3D30163}"/>
            </c:ext>
          </c:extLst>
        </c:ser>
        <c:dLbls>
          <c:dLblPos val="outEnd"/>
          <c:showLegendKey val="0"/>
          <c:showVal val="1"/>
          <c:showCatName val="0"/>
          <c:showSerName val="0"/>
          <c:showPercent val="0"/>
          <c:showBubbleSize val="0"/>
        </c:dLbls>
        <c:gapWidth val="444"/>
        <c:overlap val="-90"/>
        <c:axId val="297534832"/>
        <c:axId val="297534352"/>
      </c:barChart>
      <c:catAx>
        <c:axId val="297534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97534352"/>
        <c:crosses val="autoZero"/>
        <c:auto val="1"/>
        <c:lblAlgn val="ctr"/>
        <c:lblOffset val="100"/>
        <c:noMultiLvlLbl val="0"/>
      </c:catAx>
      <c:valAx>
        <c:axId val="297534352"/>
        <c:scaling>
          <c:orientation val="minMax"/>
        </c:scaling>
        <c:delete val="1"/>
        <c:axPos val="l"/>
        <c:numFmt formatCode="General" sourceLinked="1"/>
        <c:majorTickMark val="none"/>
        <c:minorTickMark val="none"/>
        <c:tickLblPos val="nextTo"/>
        <c:crossAx val="29753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CHALLENGE4.xlsx]Pivot charts!PivotTable6</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381714785651788"/>
          <c:y val="0.35662051947600981"/>
          <c:w val="0.34255314960629923"/>
          <c:h val="0.4146231758874237"/>
        </c:manualLayout>
      </c:layout>
      <c:barChart>
        <c:barDir val="bar"/>
        <c:grouping val="clustered"/>
        <c:varyColors val="0"/>
        <c:ser>
          <c:idx val="0"/>
          <c:order val="0"/>
          <c:tx>
            <c:strRef>
              <c:f>'Pivot charts'!$B$33</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charts'!$A$34:$A$39</c:f>
              <c:strCache>
                <c:ptCount val="5"/>
                <c:pt idx="0">
                  <c:v>Bluetooth Speaker</c:v>
                </c:pt>
                <c:pt idx="1">
                  <c:v>Notebook</c:v>
                </c:pt>
                <c:pt idx="2">
                  <c:v>Office Chair</c:v>
                </c:pt>
                <c:pt idx="3">
                  <c:v>Water Bottle</c:v>
                </c:pt>
                <c:pt idx="4">
                  <c:v>Wireless Mouse</c:v>
                </c:pt>
              </c:strCache>
            </c:strRef>
          </c:cat>
          <c:val>
            <c:numRef>
              <c:f>'Pivot charts'!$B$34:$B$39</c:f>
              <c:numCache>
                <c:formatCode>General</c:formatCode>
                <c:ptCount val="5"/>
                <c:pt idx="0">
                  <c:v>9996</c:v>
                </c:pt>
                <c:pt idx="1">
                  <c:v>1800</c:v>
                </c:pt>
                <c:pt idx="2">
                  <c:v>13998</c:v>
                </c:pt>
                <c:pt idx="3">
                  <c:v>3992</c:v>
                </c:pt>
                <c:pt idx="4">
                  <c:v>7191</c:v>
                </c:pt>
              </c:numCache>
            </c:numRef>
          </c:val>
          <c:extLst>
            <c:ext xmlns:c16="http://schemas.microsoft.com/office/drawing/2014/chart" uri="{C3380CC4-5D6E-409C-BE32-E72D297353CC}">
              <c16:uniqueId val="{00000003-620A-4BEC-AFAE-D0BEE5830540}"/>
            </c:ext>
          </c:extLst>
        </c:ser>
        <c:dLbls>
          <c:dLblPos val="inEnd"/>
          <c:showLegendKey val="0"/>
          <c:showVal val="1"/>
          <c:showCatName val="0"/>
          <c:showSerName val="0"/>
          <c:showPercent val="0"/>
          <c:showBubbleSize val="0"/>
        </c:dLbls>
        <c:gapWidth val="269"/>
        <c:overlap val="-20"/>
        <c:axId val="1615796304"/>
        <c:axId val="303151616"/>
      </c:barChart>
      <c:catAx>
        <c:axId val="161579630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03151616"/>
        <c:crosses val="autoZero"/>
        <c:auto val="1"/>
        <c:lblAlgn val="ctr"/>
        <c:lblOffset val="100"/>
        <c:noMultiLvlLbl val="0"/>
      </c:catAx>
      <c:valAx>
        <c:axId val="30315161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1579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CHALLENGE4.xlsx]Pivot charts!PivotTable7</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360107498524409"/>
          <c:y val="0.48447551066471051"/>
          <c:w val="0.23864597068907056"/>
          <c:h val="0.51552448933528949"/>
        </c:manualLayout>
      </c:layout>
      <c:pieChart>
        <c:varyColors val="1"/>
        <c:ser>
          <c:idx val="0"/>
          <c:order val="0"/>
          <c:tx>
            <c:strRef>
              <c:f>'Pivot charts'!$B$43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charts'!$A$44:$A$48</c:f>
              <c:strCache>
                <c:ptCount val="4"/>
                <c:pt idx="0">
                  <c:v>Accessories</c:v>
                </c:pt>
                <c:pt idx="1">
                  <c:v>Electronics</c:v>
                </c:pt>
                <c:pt idx="2">
                  <c:v>Furniture</c:v>
                </c:pt>
                <c:pt idx="3">
                  <c:v>Stationery</c:v>
                </c:pt>
              </c:strCache>
            </c:strRef>
          </c:cat>
          <c:val>
            <c:numRef>
              <c:f>'Pivot charts'!$B$44:$B$48</c:f>
              <c:numCache>
                <c:formatCode>General</c:formatCode>
                <c:ptCount val="4"/>
                <c:pt idx="0">
                  <c:v>3992</c:v>
                </c:pt>
                <c:pt idx="1">
                  <c:v>17187</c:v>
                </c:pt>
                <c:pt idx="2">
                  <c:v>13998</c:v>
                </c:pt>
                <c:pt idx="3">
                  <c:v>1800</c:v>
                </c:pt>
              </c:numCache>
            </c:numRef>
          </c:val>
          <c:extLst>
            <c:ext xmlns:c16="http://schemas.microsoft.com/office/drawing/2014/chart" uri="{C3380CC4-5D6E-409C-BE32-E72D297353CC}">
              <c16:uniqueId val="{0000000C-6F36-4A0C-BCD1-61964F8E62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CHALLENGE4.xlsx]Pivot charts!PivotTable8</c:name>
    <c:fmtId val="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charts'!$B$53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charts'!$A$54:$A$57</c:f>
              <c:strCache>
                <c:ptCount val="3"/>
                <c:pt idx="0">
                  <c:v>North</c:v>
                </c:pt>
                <c:pt idx="1">
                  <c:v>South</c:v>
                </c:pt>
                <c:pt idx="2">
                  <c:v>West</c:v>
                </c:pt>
              </c:strCache>
            </c:strRef>
          </c:cat>
          <c:val>
            <c:numRef>
              <c:f>'Pivot charts'!$B$54:$B$57</c:f>
              <c:numCache>
                <c:formatCode>General</c:formatCode>
                <c:ptCount val="3"/>
                <c:pt idx="0">
                  <c:v>9093</c:v>
                </c:pt>
                <c:pt idx="1">
                  <c:v>13392</c:v>
                </c:pt>
                <c:pt idx="2">
                  <c:v>14492</c:v>
                </c:pt>
              </c:numCache>
            </c:numRef>
          </c:val>
          <c:extLst>
            <c:ext xmlns:c16="http://schemas.microsoft.com/office/drawing/2014/chart" uri="{C3380CC4-5D6E-409C-BE32-E72D297353CC}">
              <c16:uniqueId val="{00000009-D51E-4A8D-8F73-FE04BA5F500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CHALLENGE4.xlsx]Pivot charts!PivotTable2</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9212598425197"/>
          <c:y val="0.12675954655849037"/>
          <c:w val="0.70925196850393701"/>
          <c:h val="0.53209572761738111"/>
        </c:manualLayout>
      </c:layout>
      <c:lineChart>
        <c:grouping val="standard"/>
        <c:varyColors val="0"/>
        <c:ser>
          <c:idx val="0"/>
          <c:order val="0"/>
          <c:tx>
            <c:strRef>
              <c:f>'Pivot charts'!$B$3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charts'!$A$4:$A$7</c:f>
              <c:strCache>
                <c:ptCount val="3"/>
                <c:pt idx="0">
                  <c:v>Jan</c:v>
                </c:pt>
                <c:pt idx="1">
                  <c:v>Feb</c:v>
                </c:pt>
                <c:pt idx="2">
                  <c:v>Mar</c:v>
                </c:pt>
              </c:strCache>
            </c:strRef>
          </c:cat>
          <c:val>
            <c:numRef>
              <c:f>'Pivot charts'!$B$4:$B$7</c:f>
              <c:numCache>
                <c:formatCode>General</c:formatCode>
                <c:ptCount val="3"/>
                <c:pt idx="0">
                  <c:v>13193</c:v>
                </c:pt>
                <c:pt idx="1">
                  <c:v>15193</c:v>
                </c:pt>
                <c:pt idx="2">
                  <c:v>8591</c:v>
                </c:pt>
              </c:numCache>
            </c:numRef>
          </c:val>
          <c:smooth val="0"/>
          <c:extLst>
            <c:ext xmlns:c16="http://schemas.microsoft.com/office/drawing/2014/chart" uri="{C3380CC4-5D6E-409C-BE32-E72D297353CC}">
              <c16:uniqueId val="{00000000-99B6-459A-953B-66F4D140563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09124272"/>
        <c:axId val="1609129552"/>
      </c:lineChart>
      <c:catAx>
        <c:axId val="16091242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09129552"/>
        <c:crosses val="autoZero"/>
        <c:auto val="1"/>
        <c:lblAlgn val="ctr"/>
        <c:lblOffset val="100"/>
        <c:noMultiLvlLbl val="0"/>
      </c:catAx>
      <c:valAx>
        <c:axId val="1609129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912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CHALLENGE4.xlsx]Pivot charts!PivotTable3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charts'!$A$20:$A$27</c:f>
              <c:strCache>
                <c:ptCount val="7"/>
                <c:pt idx="0">
                  <c:v>Sun</c:v>
                </c:pt>
                <c:pt idx="1">
                  <c:v>Mon</c:v>
                </c:pt>
                <c:pt idx="2">
                  <c:v>Tue</c:v>
                </c:pt>
                <c:pt idx="3">
                  <c:v>Wed</c:v>
                </c:pt>
                <c:pt idx="4">
                  <c:v>Thu</c:v>
                </c:pt>
                <c:pt idx="5">
                  <c:v>Fri</c:v>
                </c:pt>
                <c:pt idx="6">
                  <c:v>Sat</c:v>
                </c:pt>
              </c:strCache>
            </c:strRef>
          </c:cat>
          <c:val>
            <c:numRef>
              <c:f>'Pivot charts'!$B$20:$B$27</c:f>
              <c:numCache>
                <c:formatCode>General</c:formatCode>
                <c:ptCount val="7"/>
                <c:pt idx="0">
                  <c:v>1598</c:v>
                </c:pt>
                <c:pt idx="1">
                  <c:v>2499</c:v>
                </c:pt>
                <c:pt idx="2">
                  <c:v>8097</c:v>
                </c:pt>
                <c:pt idx="3">
                  <c:v>10596</c:v>
                </c:pt>
                <c:pt idx="4">
                  <c:v>6999</c:v>
                </c:pt>
                <c:pt idx="5">
                  <c:v>1497</c:v>
                </c:pt>
                <c:pt idx="6">
                  <c:v>5691</c:v>
                </c:pt>
              </c:numCache>
            </c:numRef>
          </c:val>
          <c:extLst>
            <c:ext xmlns:c16="http://schemas.microsoft.com/office/drawing/2014/chart" uri="{C3380CC4-5D6E-409C-BE32-E72D297353CC}">
              <c16:uniqueId val="{00000000-B27E-45BA-81CC-FE86F722CB4B}"/>
            </c:ext>
          </c:extLst>
        </c:ser>
        <c:dLbls>
          <c:showLegendKey val="0"/>
          <c:showVal val="0"/>
          <c:showCatName val="0"/>
          <c:showSerName val="0"/>
          <c:showPercent val="0"/>
          <c:showBubbleSize val="0"/>
        </c:dLbls>
        <c:gapWidth val="100"/>
        <c:overlap val="-24"/>
        <c:axId val="297534832"/>
        <c:axId val="297534352"/>
      </c:barChart>
      <c:catAx>
        <c:axId val="297534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534352"/>
        <c:crosses val="autoZero"/>
        <c:auto val="1"/>
        <c:lblAlgn val="ctr"/>
        <c:lblOffset val="100"/>
        <c:noMultiLvlLbl val="0"/>
      </c:catAx>
      <c:valAx>
        <c:axId val="297534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53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CHALLENGE4.xlsx]Pivot charts!PivotTable6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381714785651788"/>
          <c:y val="0.35662051947600981"/>
          <c:w val="0.34255314960629923"/>
          <c:h val="0.4146231758874237"/>
        </c:manualLayout>
      </c:layout>
      <c:barChart>
        <c:barDir val="bar"/>
        <c:grouping val="clustered"/>
        <c:varyColors val="0"/>
        <c:ser>
          <c:idx val="0"/>
          <c:order val="0"/>
          <c:tx>
            <c:strRef>
              <c:f>'Pivot charts'!$B$33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charts'!$A$34:$A$39</c:f>
              <c:strCache>
                <c:ptCount val="5"/>
                <c:pt idx="0">
                  <c:v>Bluetooth Speaker</c:v>
                </c:pt>
                <c:pt idx="1">
                  <c:v>Notebook</c:v>
                </c:pt>
                <c:pt idx="2">
                  <c:v>Office Chair</c:v>
                </c:pt>
                <c:pt idx="3">
                  <c:v>Water Bottle</c:v>
                </c:pt>
                <c:pt idx="4">
                  <c:v>Wireless Mouse</c:v>
                </c:pt>
              </c:strCache>
            </c:strRef>
          </c:cat>
          <c:val>
            <c:numRef>
              <c:f>'Pivot charts'!$B$34:$B$39</c:f>
              <c:numCache>
                <c:formatCode>General</c:formatCode>
                <c:ptCount val="5"/>
                <c:pt idx="0">
                  <c:v>9996</c:v>
                </c:pt>
                <c:pt idx="1">
                  <c:v>1800</c:v>
                </c:pt>
                <c:pt idx="2">
                  <c:v>13998</c:v>
                </c:pt>
                <c:pt idx="3">
                  <c:v>3992</c:v>
                </c:pt>
                <c:pt idx="4">
                  <c:v>7191</c:v>
                </c:pt>
              </c:numCache>
            </c:numRef>
          </c:val>
          <c:extLst>
            <c:ext xmlns:c16="http://schemas.microsoft.com/office/drawing/2014/chart" uri="{C3380CC4-5D6E-409C-BE32-E72D297353CC}">
              <c16:uniqueId val="{00000004-12AB-41A5-B73C-6E88B4ACEB4D}"/>
            </c:ext>
          </c:extLst>
        </c:ser>
        <c:dLbls>
          <c:dLblPos val="inEnd"/>
          <c:showLegendKey val="0"/>
          <c:showVal val="1"/>
          <c:showCatName val="0"/>
          <c:showSerName val="0"/>
          <c:showPercent val="0"/>
          <c:showBubbleSize val="0"/>
        </c:dLbls>
        <c:gapWidth val="65"/>
        <c:axId val="1615796304"/>
        <c:axId val="303151616"/>
      </c:barChart>
      <c:catAx>
        <c:axId val="16157963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3151616"/>
        <c:crosses val="autoZero"/>
        <c:auto val="1"/>
        <c:lblAlgn val="ctr"/>
        <c:lblOffset val="100"/>
        <c:noMultiLvlLbl val="0"/>
      </c:catAx>
      <c:valAx>
        <c:axId val="3031516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15796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CHALLENGE4.xlsx]Pivot charts!PivotTable7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charts'!$B$43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charts'!$A$44:$A$48</c:f>
              <c:strCache>
                <c:ptCount val="4"/>
                <c:pt idx="0">
                  <c:v>Accessories</c:v>
                </c:pt>
                <c:pt idx="1">
                  <c:v>Electronics</c:v>
                </c:pt>
                <c:pt idx="2">
                  <c:v>Furniture</c:v>
                </c:pt>
                <c:pt idx="3">
                  <c:v>Stationery</c:v>
                </c:pt>
              </c:strCache>
            </c:strRef>
          </c:cat>
          <c:val>
            <c:numRef>
              <c:f>'Pivot charts'!$B$44:$B$48</c:f>
              <c:numCache>
                <c:formatCode>General</c:formatCode>
                <c:ptCount val="4"/>
                <c:pt idx="0">
                  <c:v>3992</c:v>
                </c:pt>
                <c:pt idx="1">
                  <c:v>17187</c:v>
                </c:pt>
                <c:pt idx="2">
                  <c:v>13998</c:v>
                </c:pt>
                <c:pt idx="3">
                  <c:v>1800</c:v>
                </c:pt>
              </c:numCache>
            </c:numRef>
          </c:val>
          <c:extLst>
            <c:ext xmlns:c16="http://schemas.microsoft.com/office/drawing/2014/chart" uri="{C3380CC4-5D6E-409C-BE32-E72D297353CC}">
              <c16:uniqueId val="{00000004-1EBD-4A2F-A4E3-FD73EADDCE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CHALLENGE4.xlsx]Pivot charts!PivotTable8</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charts'!$B$53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charts'!$A$54:$A$57</c:f>
              <c:strCache>
                <c:ptCount val="3"/>
                <c:pt idx="0">
                  <c:v>North</c:v>
                </c:pt>
                <c:pt idx="1">
                  <c:v>South</c:v>
                </c:pt>
                <c:pt idx="2">
                  <c:v>West</c:v>
                </c:pt>
              </c:strCache>
            </c:strRef>
          </c:cat>
          <c:val>
            <c:numRef>
              <c:f>'Pivot charts'!$B$54:$B$57</c:f>
              <c:numCache>
                <c:formatCode>General</c:formatCode>
                <c:ptCount val="3"/>
                <c:pt idx="0">
                  <c:v>9093</c:v>
                </c:pt>
                <c:pt idx="1">
                  <c:v>13392</c:v>
                </c:pt>
                <c:pt idx="2">
                  <c:v>14492</c:v>
                </c:pt>
              </c:numCache>
            </c:numRef>
          </c:val>
          <c:extLst>
            <c:ext xmlns:c16="http://schemas.microsoft.com/office/drawing/2014/chart" uri="{C3380CC4-5D6E-409C-BE32-E72D297353CC}">
              <c16:uniqueId val="{00000004-A973-45D0-AEB2-00454DC32C9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438150</xdr:colOff>
      <xdr:row>12</xdr:row>
      <xdr:rowOff>104775</xdr:rowOff>
    </xdr:from>
    <xdr:to>
      <xdr:col>7</xdr:col>
      <xdr:colOff>1000125</xdr:colOff>
      <xdr:row>21</xdr:row>
      <xdr:rowOff>123825</xdr:rowOff>
    </xdr:to>
    <xdr:graphicFrame macro="">
      <xdr:nvGraphicFramePr>
        <xdr:cNvPr id="3" name="Chart 2">
          <a:extLst>
            <a:ext uri="{FF2B5EF4-FFF2-40B4-BE49-F238E27FC236}">
              <a16:creationId xmlns:a16="http://schemas.microsoft.com/office/drawing/2014/main" id="{8E3A1801-C6F0-438D-8FE1-A5826430D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447676</xdr:colOff>
      <xdr:row>23</xdr:row>
      <xdr:rowOff>104774</xdr:rowOff>
    </xdr:from>
    <xdr:to>
      <xdr:col>5</xdr:col>
      <xdr:colOff>1181101</xdr:colOff>
      <xdr:row>35</xdr:row>
      <xdr:rowOff>19049</xdr:rowOff>
    </xdr:to>
    <xdr:graphicFrame macro="">
      <xdr:nvGraphicFramePr>
        <xdr:cNvPr id="5" name="Chart 4">
          <a:extLst>
            <a:ext uri="{FF2B5EF4-FFF2-40B4-BE49-F238E27FC236}">
              <a16:creationId xmlns:a16="http://schemas.microsoft.com/office/drawing/2014/main" id="{610A7DC8-DF8C-4F75-B66D-233F24551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381001</xdr:colOff>
      <xdr:row>36</xdr:row>
      <xdr:rowOff>171450</xdr:rowOff>
    </xdr:from>
    <xdr:to>
      <xdr:col>8</xdr:col>
      <xdr:colOff>66675</xdr:colOff>
      <xdr:row>50</xdr:row>
      <xdr:rowOff>142875</xdr:rowOff>
    </xdr:to>
    <xdr:graphicFrame macro="">
      <xdr:nvGraphicFramePr>
        <xdr:cNvPr id="7" name="Chart 6">
          <a:extLst>
            <a:ext uri="{FF2B5EF4-FFF2-40B4-BE49-F238E27FC236}">
              <a16:creationId xmlns:a16="http://schemas.microsoft.com/office/drawing/2014/main" id="{B65F8719-989C-4391-BC32-13C744EA4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19051</xdr:colOff>
      <xdr:row>23</xdr:row>
      <xdr:rowOff>85725</xdr:rowOff>
    </xdr:from>
    <xdr:to>
      <xdr:col>8</xdr:col>
      <xdr:colOff>9526</xdr:colOff>
      <xdr:row>34</xdr:row>
      <xdr:rowOff>57150</xdr:rowOff>
    </xdr:to>
    <xdr:graphicFrame macro="">
      <xdr:nvGraphicFramePr>
        <xdr:cNvPr id="10" name="Chart 9">
          <a:extLst>
            <a:ext uri="{FF2B5EF4-FFF2-40B4-BE49-F238E27FC236}">
              <a16:creationId xmlns:a16="http://schemas.microsoft.com/office/drawing/2014/main" id="{9C3A353E-4AB1-44D5-A95E-671805774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476251</xdr:colOff>
      <xdr:row>37</xdr:row>
      <xdr:rowOff>47626</xdr:rowOff>
    </xdr:from>
    <xdr:to>
      <xdr:col>4</xdr:col>
      <xdr:colOff>1543050</xdr:colOff>
      <xdr:row>50</xdr:row>
      <xdr:rowOff>85725</xdr:rowOff>
    </xdr:to>
    <xdr:graphicFrame macro="">
      <xdr:nvGraphicFramePr>
        <xdr:cNvPr id="16" name="Chart 15">
          <a:extLst>
            <a:ext uri="{FF2B5EF4-FFF2-40B4-BE49-F238E27FC236}">
              <a16:creationId xmlns:a16="http://schemas.microsoft.com/office/drawing/2014/main" id="{D243F194-BB28-4552-A3DC-2E61D44A6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504825</xdr:colOff>
      <xdr:row>10</xdr:row>
      <xdr:rowOff>180976</xdr:rowOff>
    </xdr:from>
    <xdr:to>
      <xdr:col>11</xdr:col>
      <xdr:colOff>381000</xdr:colOff>
      <xdr:row>19</xdr:row>
      <xdr:rowOff>19050</xdr:rowOff>
    </xdr:to>
    <mc:AlternateContent xmlns:mc="http://schemas.openxmlformats.org/markup-compatibility/2006">
      <mc:Choice xmlns:a14="http://schemas.microsoft.com/office/drawing/2010/main" Requires="a14">
        <xdr:graphicFrame macro="">
          <xdr:nvGraphicFramePr>
            <xdr:cNvPr id="17" name="RegionName">
              <a:extLst>
                <a:ext uri="{FF2B5EF4-FFF2-40B4-BE49-F238E27FC236}">
                  <a16:creationId xmlns:a16="http://schemas.microsoft.com/office/drawing/2014/main" id="{B6F5C236-79B9-35F3-F1C6-C2A2692EBE2E}"/>
                </a:ext>
              </a:extLst>
            </xdr:cNvPr>
            <xdr:cNvGraphicFramePr/>
          </xdr:nvGraphicFramePr>
          <xdr:xfrm>
            <a:off x="0" y="0"/>
            <a:ext cx="0" cy="0"/>
          </xdr:xfrm>
          <a:graphic>
            <a:graphicData uri="http://schemas.microsoft.com/office/drawing/2010/slicer">
              <sle:slicer xmlns:sle="http://schemas.microsoft.com/office/drawing/2010/slicer" name="RegionName"/>
            </a:graphicData>
          </a:graphic>
        </xdr:graphicFrame>
      </mc:Choice>
      <mc:Fallback>
        <xdr:sp macro="" textlink="">
          <xdr:nvSpPr>
            <xdr:cNvPr id="0" name=""/>
            <xdr:cNvSpPr>
              <a:spLocks noTextEdit="1"/>
            </xdr:cNvSpPr>
          </xdr:nvSpPr>
          <xdr:spPr>
            <a:xfrm>
              <a:off x="10125075" y="2085976"/>
              <a:ext cx="1704975" cy="1552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523875</xdr:colOff>
      <xdr:row>20</xdr:row>
      <xdr:rowOff>19050</xdr:rowOff>
    </xdr:from>
    <xdr:to>
      <xdr:col>11</xdr:col>
      <xdr:colOff>495300</xdr:colOff>
      <xdr:row>28</xdr:row>
      <xdr:rowOff>9525</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74340B0B-66D2-1944-DBBD-10920AAF1B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44125" y="3829050"/>
              <a:ext cx="180022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542925</xdr:colOff>
      <xdr:row>29</xdr:row>
      <xdr:rowOff>38100</xdr:rowOff>
    </xdr:from>
    <xdr:to>
      <xdr:col>11</xdr:col>
      <xdr:colOff>561975</xdr:colOff>
      <xdr:row>38</xdr:row>
      <xdr:rowOff>9525</xdr:rowOff>
    </xdr:to>
    <mc:AlternateContent xmlns:mc="http://schemas.openxmlformats.org/markup-compatibility/2006">
      <mc:Choice xmlns:a14="http://schemas.microsoft.com/office/drawing/2010/main" Requires="a14">
        <xdr:graphicFrame macro="">
          <xdr:nvGraphicFramePr>
            <xdr:cNvPr id="19" name="ProductName">
              <a:extLst>
                <a:ext uri="{FF2B5EF4-FFF2-40B4-BE49-F238E27FC236}">
                  <a16:creationId xmlns:a16="http://schemas.microsoft.com/office/drawing/2014/main" id="{A5A71445-1B72-D46A-E187-52116D0CC9C0}"/>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10163175" y="5562600"/>
              <a:ext cx="184785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504825</xdr:colOff>
      <xdr:row>0</xdr:row>
      <xdr:rowOff>114300</xdr:rowOff>
    </xdr:from>
    <xdr:to>
      <xdr:col>11</xdr:col>
      <xdr:colOff>352425</xdr:colOff>
      <xdr:row>9</xdr:row>
      <xdr:rowOff>171450</xdr:rowOff>
    </xdr:to>
    <mc:AlternateContent xmlns:mc="http://schemas.openxmlformats.org/markup-compatibility/2006">
      <mc:Choice xmlns:tsle="http://schemas.microsoft.com/office/drawing/2012/timeslicer" Requires="tsle">
        <xdr:graphicFrame macro="">
          <xdr:nvGraphicFramePr>
            <xdr:cNvPr id="20" name="OrderDate">
              <a:extLst>
                <a:ext uri="{FF2B5EF4-FFF2-40B4-BE49-F238E27FC236}">
                  <a16:creationId xmlns:a16="http://schemas.microsoft.com/office/drawing/2014/main" id="{2E2050E7-81F3-38E1-4521-7363821E9193}"/>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10125075" y="114300"/>
              <a:ext cx="1676400" cy="1771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0</xdr:row>
      <xdr:rowOff>90487</xdr:rowOff>
    </xdr:from>
    <xdr:to>
      <xdr:col>12</xdr:col>
      <xdr:colOff>9524</xdr:colOff>
      <xdr:row>13</xdr:row>
      <xdr:rowOff>9525</xdr:rowOff>
    </xdr:to>
    <xdr:graphicFrame macro="">
      <xdr:nvGraphicFramePr>
        <xdr:cNvPr id="2" name="Chart 1">
          <a:extLst>
            <a:ext uri="{FF2B5EF4-FFF2-40B4-BE49-F238E27FC236}">
              <a16:creationId xmlns:a16="http://schemas.microsoft.com/office/drawing/2014/main" id="{E846E661-74D8-3638-A5C9-8E2ED11B0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15</xdr:row>
      <xdr:rowOff>28576</xdr:rowOff>
    </xdr:from>
    <xdr:to>
      <xdr:col>11</xdr:col>
      <xdr:colOff>590550</xdr:colOff>
      <xdr:row>26</xdr:row>
      <xdr:rowOff>171450</xdr:rowOff>
    </xdr:to>
    <xdr:graphicFrame macro="">
      <xdr:nvGraphicFramePr>
        <xdr:cNvPr id="3" name="Chart 2">
          <a:extLst>
            <a:ext uri="{FF2B5EF4-FFF2-40B4-BE49-F238E27FC236}">
              <a16:creationId xmlns:a16="http://schemas.microsoft.com/office/drawing/2014/main" id="{A3BDF85E-85A1-B6F4-7669-97D4F37FE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47624</xdr:colOff>
      <xdr:row>28</xdr:row>
      <xdr:rowOff>171450</xdr:rowOff>
    </xdr:from>
    <xdr:to>
      <xdr:col>11</xdr:col>
      <xdr:colOff>590549</xdr:colOff>
      <xdr:row>39</xdr:row>
      <xdr:rowOff>19049</xdr:rowOff>
    </xdr:to>
    <xdr:graphicFrame macro="">
      <xdr:nvGraphicFramePr>
        <xdr:cNvPr id="4" name="Chart 3">
          <a:extLst>
            <a:ext uri="{FF2B5EF4-FFF2-40B4-BE49-F238E27FC236}">
              <a16:creationId xmlns:a16="http://schemas.microsoft.com/office/drawing/2014/main" id="{5B32622F-989C-87D9-F5DF-F026D684F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19049</xdr:colOff>
      <xdr:row>39</xdr:row>
      <xdr:rowOff>157162</xdr:rowOff>
    </xdr:from>
    <xdr:to>
      <xdr:col>12</xdr:col>
      <xdr:colOff>9524</xdr:colOff>
      <xdr:row>50</xdr:row>
      <xdr:rowOff>95250</xdr:rowOff>
    </xdr:to>
    <xdr:graphicFrame macro="">
      <xdr:nvGraphicFramePr>
        <xdr:cNvPr id="5" name="Chart 4">
          <a:extLst>
            <a:ext uri="{FF2B5EF4-FFF2-40B4-BE49-F238E27FC236}">
              <a16:creationId xmlns:a16="http://schemas.microsoft.com/office/drawing/2014/main" id="{1811A9D4-CFA1-4C7B-97AA-CAD2FBB97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xdr:colOff>
      <xdr:row>51</xdr:row>
      <xdr:rowOff>133351</xdr:rowOff>
    </xdr:from>
    <xdr:to>
      <xdr:col>11</xdr:col>
      <xdr:colOff>590550</xdr:colOff>
      <xdr:row>64</xdr:row>
      <xdr:rowOff>9525</xdr:rowOff>
    </xdr:to>
    <xdr:graphicFrame macro="">
      <xdr:nvGraphicFramePr>
        <xdr:cNvPr id="6" name="Chart 5">
          <a:extLst>
            <a:ext uri="{FF2B5EF4-FFF2-40B4-BE49-F238E27FC236}">
              <a16:creationId xmlns:a16="http://schemas.microsoft.com/office/drawing/2014/main" id="{AA2AAEE3-01B4-98E2-27BF-1CC628281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1.853255787035" createdVersion="8" refreshedVersion="8" minRefreshableVersion="3" recordCount="12" xr:uid="{7639166A-3D61-409D-BD71-934FC59C8150}">
  <cacheSource type="worksheet">
    <worksheetSource name="Table1"/>
  </cacheSource>
  <cacheFields count="12">
    <cacheField name="OrderID" numFmtId="0">
      <sharedItems/>
    </cacheField>
    <cacheField name="OrderDate" numFmtId="15">
      <sharedItems containsSemiMixedTypes="0" containsNonDate="0" containsDate="1" containsString="0" minDate="2025-01-05T00:00:00" maxDate="2025-03-19T00:00:00"/>
    </cacheField>
    <cacheField name="ProductID" numFmtId="0">
      <sharedItems/>
    </cacheField>
    <cacheField name="RegionID" numFmtId="0">
      <sharedItems/>
    </cacheField>
    <cacheField name="Quantity" numFmtId="0">
      <sharedItems containsSemiMixedTypes="0" containsString="0" containsNumber="1" containsInteger="1" minValue="1" maxValue="10"/>
    </cacheField>
    <cacheField name="SalesAmount" numFmtId="0">
      <sharedItems containsSemiMixedTypes="0" containsString="0" containsNumber="1" containsInteger="1" minValue="600" maxValue="6999" count="10">
        <n v="1598"/>
        <n v="2499"/>
        <n v="600"/>
        <n v="6999"/>
        <n v="1497"/>
        <n v="3196"/>
        <n v="4998"/>
        <n v="1200"/>
        <n v="2495"/>
        <n v="2397"/>
      </sharedItems>
    </cacheField>
    <cacheField name="Month" numFmtId="0">
      <sharedItems count="3">
        <s v="Jan"/>
        <s v="Feb"/>
        <s v="Mar"/>
      </sharedItems>
    </cacheField>
    <cacheField name="Month No" numFmtId="0">
      <sharedItems containsSemiMixedTypes="0" containsString="0" containsNumber="1" containsInteger="1" minValue="1" maxValue="3"/>
    </cacheField>
    <cacheField name="WeekDay" numFmtId="0">
      <sharedItems count="7">
        <s v="Sun"/>
        <s v="Mon"/>
        <s v="Tue"/>
        <s v="Wed"/>
        <s v="Fri"/>
        <s v="Sat"/>
        <s v="Thu"/>
      </sharedItems>
    </cacheField>
    <cacheField name="Weekday  no" numFmtId="0">
      <sharedItems containsSemiMixedTypes="0" containsString="0" containsNumber="1" containsInteger="1" minValue="1" maxValue="7"/>
    </cacheField>
    <cacheField name="Year" numFmtId="0">
      <sharedItems containsSemiMixedTypes="0" containsString="0" containsNumber="1" containsInteger="1" minValue="2025" maxValue="2025"/>
    </cacheField>
    <cacheField name="Quarter"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8206867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56545949077" backgroundQuery="1" createdVersion="8" refreshedVersion="8" minRefreshableVersion="3" recordCount="0" supportSubquery="1" supportAdvancedDrill="1" xr:uid="{A470E665-67A3-48CD-A934-9D574AB35FF8}">
  <cacheSource type="external" connectionId="1"/>
  <cacheFields count="3">
    <cacheField name="[Table2].[Category].[Category]" caption="Category" numFmtId="0" hierarchy="14" level="1">
      <sharedItems count="4">
        <s v="Accessories"/>
        <s v="Electronics"/>
        <s v="Furniture"/>
        <s v="Stationery"/>
      </sharedItems>
    </cacheField>
    <cacheField name="[Measures].[Sum of SalesAmount]" caption="Sum of SalesAmount" numFmtId="0" hierarchy="22" level="32767"/>
    <cacheField name="[Table2].[ProductName].[ProductName]" caption="ProductName" numFmtId="0" hierarchy="13" level="1">
      <sharedItems containsSemiMixedTypes="0" containsNonDate="0" containsString="0"/>
    </cacheField>
  </cacheFields>
  <cacheHierarchies count="26">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RegionID]" caption="RegionID" attribute="1" defaultMemberUniqueName="[Table1].[RegionID].[All]" allUniqueName="[Table1].[Region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130" unbalanced="0"/>
    <cacheHierarchy uniqueName="[Table1].[Weekday  no]" caption="Weekday  no" attribute="1" defaultMemberUniqueName="[Table1].[Weekday  no].[All]" allUniqueName="[Table1].[Weekday  no].[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Price]" caption="Price" attribute="1" defaultMemberUniqueName="[Table2].[Price].[All]" allUniqueName="[Table2].[Price].[All]" dimensionUniqueName="[Table2]" displayFolder="" count="0" memberValueDatatype="20" unbalanced="0"/>
    <cacheHierarchy uniqueName="[Table3].[RegionID]" caption="RegionID" attribute="1" defaultMemberUniqueName="[Table3].[RegionID].[All]" allUniqueName="[Table3].[RegionID].[All]" dimensionUniqueName="[Table3]" displayFolder="" count="0" memberValueDatatype="130" unbalanced="0"/>
    <cacheHierarchy uniqueName="[Table3].[RegionName]" caption="RegionName" attribute="1" defaultMemberUniqueName="[Table3].[RegionName].[All]" allUniqueName="[Table3].[RegionName].[All]" dimensionUniqueName="[Table3]"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56859953701" backgroundQuery="1" createdVersion="8" refreshedVersion="8" minRefreshableVersion="3" recordCount="0" supportSubquery="1" supportAdvancedDrill="1" xr:uid="{D923646A-7C29-4E86-927C-B1D5B1722AB4}">
  <cacheSource type="external" connectionId="1"/>
  <cacheFields count="5">
    <cacheField name="[Measures].[Sum of SalesAmount]" caption="Sum of SalesAmount" numFmtId="0" hierarchy="22" level="32767"/>
    <cacheField name="[Measures].[Count of OrderID]" caption="Count of OrderID" numFmtId="0" hierarchy="25" level="32767"/>
    <cacheField name="[Table2].[ProductName].[ProductName]" caption="ProductName" numFmtId="0" hierarchy="13" level="1">
      <sharedItems count="5">
        <s v="Bluetooth Speaker"/>
        <s v="Notebook"/>
        <s v="Office Chair"/>
        <s v="Water Bottle"/>
        <s v="Wireless Mouse"/>
      </sharedItems>
    </cacheField>
    <cacheField name="[Table3].[RegionName].[RegionName]" caption="RegionName" numFmtId="0" hierarchy="17" level="1">
      <sharedItems count="3">
        <s v="North"/>
        <s v="South"/>
        <s v="West"/>
      </sharedItems>
    </cacheField>
    <cacheField name="[Table2].[Category].[Category]" caption="Category" numFmtId="0" hierarchy="14" level="1">
      <sharedItems containsSemiMixedTypes="0" containsNonDate="0" containsString="0"/>
    </cacheField>
  </cacheFields>
  <cacheHierarchies count="26">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time="1" defaultMemberUniqueName="[Table1].[OrderDate].[All]" allUniqueName="[Table1].[OrderDate].[All]" dimensionUniqueName="[Table1]" displayFolder="" count="2" memberValueDatatype="7" unbalanced="0"/>
    <cacheHierarchy uniqueName="[Table1].[ProductID]" caption="ProductID" attribute="1" defaultMemberUniqueName="[Table1].[ProductID].[All]" allUniqueName="[Table1].[ProductID].[All]" dimensionUniqueName="[Table1]" displayFolder="" count="2" memberValueDatatype="130" unbalanced="0"/>
    <cacheHierarchy uniqueName="[Table1].[RegionID]" caption="RegionID" attribute="1" defaultMemberUniqueName="[Table1].[RegionID].[All]" allUniqueName="[Table1].[Region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SalesAmount]" caption="SalesAmount" attribute="1" defaultMemberUniqueName="[Table1].[SalesAmount].[All]" allUniqueName="[Table1].[SalesAmount].[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2" memberValueDatatype="20" unbalanced="0"/>
    <cacheHierarchy uniqueName="[Table1].[WeekDay]" caption="WeekDay" attribute="1" defaultMemberUniqueName="[Table1].[WeekDay].[All]" allUniqueName="[Table1].[WeekDay].[All]" dimensionUniqueName="[Table1]" displayFolder="" count="2" memberValueDatatype="130" unbalanced="0"/>
    <cacheHierarchy uniqueName="[Table1].[Weekday  no]" caption="Weekday  no" attribute="1" defaultMemberUniqueName="[Table1].[Weekday  no].[All]" allUniqueName="[Table1].[Weekday  no].[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2" memberValueDatatype="20" unbalanced="0"/>
    <cacheHierarchy uniqueName="[Table2].[ProductID]" caption="ProductID" attribute="1" defaultMemberUniqueName="[Table2].[ProductID].[All]" allUniqueName="[Table2].[ProductID].[All]" dimensionUniqueName="[Table2]" displayFolder="" count="2" memberValueDatatype="130" unbalanced="0"/>
    <cacheHierarchy uniqueName="[Table2].[ProductName]" caption="ProductName" attribute="1" defaultMemberUniqueName="[Table2].[ProductName].[All]" allUniqueName="[Table2].[ProductName].[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4"/>
      </fieldsUsage>
    </cacheHierarchy>
    <cacheHierarchy uniqueName="[Table2].[Price]" caption="Price" attribute="1" defaultMemberUniqueName="[Table2].[Price].[All]" allUniqueName="[Table2].[Price].[All]" dimensionUniqueName="[Table2]" displayFolder="" count="2" memberValueDatatype="20" unbalanced="0"/>
    <cacheHierarchy uniqueName="[Table3].[RegionID]" caption="RegionID" attribute="1" defaultMemberUniqueName="[Table3].[RegionID].[All]" allUniqueName="[Table3].[RegionID].[All]" dimensionUniqueName="[Table3]" displayFolder="" count="2" memberValueDatatype="130" unbalanced="0"/>
    <cacheHierarchy uniqueName="[Table3].[RegionName]" caption="RegionName" attribute="1" defaultMemberUniqueName="[Table3].[RegionName].[All]" allUniqueName="[Table3].[RegionName].[All]" dimensionUniqueName="[Table3]" displayFolder="" count="2" memberValueDatatype="130" unbalanced="0">
      <fieldsUsage count="2">
        <fieldUsage x="-1"/>
        <fieldUsage x="3"/>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56860416663" backgroundQuery="1" createdVersion="8" refreshedVersion="8" minRefreshableVersion="3" recordCount="0" supportSubquery="1" supportAdvancedDrill="1" xr:uid="{3DD073B0-243A-4FDA-A37D-07457BDEE5A7}">
  <cacheSource type="external" connectionId="1"/>
  <cacheFields count="3">
    <cacheField name="[Table2].[ProductName].[ProductName]" caption="ProductName" numFmtId="0" hierarchy="13" level="1">
      <sharedItems count="5">
        <s v="Bluetooth Speaker"/>
        <s v="Notebook"/>
        <s v="Office Chair"/>
        <s v="Water Bottle"/>
        <s v="Wireless Mouse"/>
      </sharedItems>
    </cacheField>
    <cacheField name="[Measures].[Sum of SalesAmount]" caption="Sum of SalesAmount" numFmtId="0" hierarchy="22" level="32767"/>
    <cacheField name="[Table2].[Category].[Category]" caption="Category" numFmtId="0" hierarchy="14" level="1">
      <sharedItems containsSemiMixedTypes="0" containsNonDate="0" containsString="0"/>
    </cacheField>
  </cacheFields>
  <cacheHierarchies count="26">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time="1" defaultMemberUniqueName="[Table1].[OrderDate].[All]" allUniqueName="[Table1].[OrderDate].[All]" dimensionUniqueName="[Table1]" displayFolder="" count="2" memberValueDatatype="7" unbalanced="0"/>
    <cacheHierarchy uniqueName="[Table1].[ProductID]" caption="ProductID" attribute="1" defaultMemberUniqueName="[Table1].[ProductID].[All]" allUniqueName="[Table1].[ProductID].[All]" dimensionUniqueName="[Table1]" displayFolder="" count="2" memberValueDatatype="130" unbalanced="0"/>
    <cacheHierarchy uniqueName="[Table1].[RegionID]" caption="RegionID" attribute="1" defaultMemberUniqueName="[Table1].[RegionID].[All]" allUniqueName="[Table1].[Region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SalesAmount]" caption="SalesAmount" attribute="1" defaultMemberUniqueName="[Table1].[SalesAmount].[All]" allUniqueName="[Table1].[SalesAmount].[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2" memberValueDatatype="20" unbalanced="0"/>
    <cacheHierarchy uniqueName="[Table1].[WeekDay]" caption="WeekDay" attribute="1" defaultMemberUniqueName="[Table1].[WeekDay].[All]" allUniqueName="[Table1].[WeekDay].[All]" dimensionUniqueName="[Table1]" displayFolder="" count="2" memberValueDatatype="130" unbalanced="0"/>
    <cacheHierarchy uniqueName="[Table1].[Weekday  no]" caption="Weekday  no" attribute="1" defaultMemberUniqueName="[Table1].[Weekday  no].[All]" allUniqueName="[Table1].[Weekday  no].[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2" memberValueDatatype="20" unbalanced="0"/>
    <cacheHierarchy uniqueName="[Table2].[ProductID]" caption="ProductID" attribute="1" defaultMemberUniqueName="[Table2].[ProductID].[All]" allUniqueName="[Table2].[ProductID].[All]" dimensionUniqueName="[Table2]" displayFolder="" count="2" memberValueDatatype="130" unbalanced="0"/>
    <cacheHierarchy uniqueName="[Table2].[ProductName]" caption="ProductName" attribute="1" defaultMemberUniqueName="[Table2].[ProductName].[All]" allUniqueName="[Table2].[Product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Price]" caption="Price" attribute="1" defaultMemberUniqueName="[Table2].[Price].[All]" allUniqueName="[Table2].[Price].[All]" dimensionUniqueName="[Table2]" displayFolder="" count="2" memberValueDatatype="20" unbalanced="0"/>
    <cacheHierarchy uniqueName="[Table3].[RegionID]" caption="RegionID" attribute="1" defaultMemberUniqueName="[Table3].[RegionID].[All]" allUniqueName="[Table3].[RegionID].[All]" dimensionUniqueName="[Table3]" displayFolder="" count="2" memberValueDatatype="130" unbalanced="0"/>
    <cacheHierarchy uniqueName="[Table3].[RegionName]" caption="RegionName" attribute="1" defaultMemberUniqueName="[Table3].[RegionName].[All]" allUniqueName="[Table3].[RegionName].[All]" dimensionUniqueName="[Table3]"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56860995371" backgroundQuery="1" createdVersion="8" refreshedVersion="8" minRefreshableVersion="3" recordCount="0" supportSubquery="1" supportAdvancedDrill="1" xr:uid="{C6ABA14C-0713-454A-AC72-E6E0A40598B1}">
  <cacheSource type="external" connectionId="1"/>
  <cacheFields count="3">
    <cacheField name="[Table3].[RegionName].[RegionName]" caption="RegionName" numFmtId="0" hierarchy="17" level="1">
      <sharedItems count="3">
        <s v="North"/>
        <s v="South"/>
        <s v="West"/>
      </sharedItems>
    </cacheField>
    <cacheField name="[Measures].[Sum of SalesAmount]" caption="Sum of SalesAmount" numFmtId="0" hierarchy="22" level="32767"/>
    <cacheField name="[Table2].[Category].[Category]" caption="Category" numFmtId="0" hierarchy="14" level="1">
      <sharedItems containsSemiMixedTypes="0" containsNonDate="0" containsString="0"/>
    </cacheField>
  </cacheFields>
  <cacheHierarchies count="26">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RegionID]" caption="RegionID" attribute="1" defaultMemberUniqueName="[Table1].[RegionID].[All]" allUniqueName="[Table1].[Region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130" unbalanced="0"/>
    <cacheHierarchy uniqueName="[Table1].[Weekday  no]" caption="Weekday  no" attribute="1" defaultMemberUniqueName="[Table1].[Weekday  no].[All]" allUniqueName="[Table1].[Weekday  no].[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Price]" caption="Price" attribute="1" defaultMemberUniqueName="[Table2].[Price].[All]" allUniqueName="[Table2].[Price].[All]" dimensionUniqueName="[Table2]" displayFolder="" count="0" memberValueDatatype="20" unbalanced="0"/>
    <cacheHierarchy uniqueName="[Table3].[RegionID]" caption="RegionID" attribute="1" defaultMemberUniqueName="[Table3].[RegionID].[All]" allUniqueName="[Table3].[RegionID].[All]" dimensionUniqueName="[Table3]" displayFolder="" count="0" memberValueDatatype="130" unbalanced="0"/>
    <cacheHierarchy uniqueName="[Table3].[RegionName]" caption="RegionName" attribute="1" defaultMemberUniqueName="[Table3].[RegionName].[All]" allUniqueName="[Table3].[RegionName].[All]" dimensionUniqueName="[Table3]"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56861458333" backgroundQuery="1" createdVersion="8" refreshedVersion="8" minRefreshableVersion="3" recordCount="0" supportSubquery="1" supportAdvancedDrill="1" xr:uid="{D55FF8FA-7BFF-48B4-B129-BB6911A9C394}">
  <cacheSource type="external" connectionId="1"/>
  <cacheFields count="3">
    <cacheField name="[Table2].[ProductName].[ProductName]" caption="ProductName" numFmtId="0" hierarchy="13" level="1">
      <sharedItems count="5">
        <s v="Bluetooth Speaker"/>
        <s v="Notebook"/>
        <s v="Office Chair"/>
        <s v="Water Bottle"/>
        <s v="Wireless Mouse"/>
      </sharedItems>
    </cacheField>
    <cacheField name="[Measures].[Sum of SalesAmount]" caption="Sum of SalesAmount" numFmtId="0" hierarchy="22" level="32767"/>
    <cacheField name="[Table2].[Category].[Category]" caption="Category" numFmtId="0" hierarchy="14" level="1">
      <sharedItems containsSemiMixedTypes="0" containsNonDate="0" containsString="0"/>
    </cacheField>
  </cacheFields>
  <cacheHierarchies count="26">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RegionID]" caption="RegionID" attribute="1" defaultMemberUniqueName="[Table1].[RegionID].[All]" allUniqueName="[Table1].[Region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130" unbalanced="0"/>
    <cacheHierarchy uniqueName="[Table1].[Weekday  no]" caption="Weekday  no" attribute="1" defaultMemberUniqueName="[Table1].[Weekday  no].[All]" allUniqueName="[Table1].[Weekday  no].[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Price]" caption="Price" attribute="1" defaultMemberUniqueName="[Table2].[Price].[All]" allUniqueName="[Table2].[Price].[All]" dimensionUniqueName="[Table2]" displayFolder="" count="0" memberValueDatatype="20" unbalanced="0"/>
    <cacheHierarchy uniqueName="[Table3].[RegionID]" caption="RegionID" attribute="1" defaultMemberUniqueName="[Table3].[RegionID].[All]" allUniqueName="[Table3].[RegionID].[All]" dimensionUniqueName="[Table3]" displayFolder="" count="0" memberValueDatatype="130" unbalanced="0"/>
    <cacheHierarchy uniqueName="[Table3].[RegionName]" caption="RegionName" attribute="1" defaultMemberUniqueName="[Table3].[RegionName].[All]" allUniqueName="[Table3].[RegionName].[All]" dimensionUniqueName="[Table3]"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56861921295" backgroundQuery="1" createdVersion="8" refreshedVersion="8" minRefreshableVersion="3" recordCount="0" supportSubquery="1" supportAdvancedDrill="1" xr:uid="{D77CB18F-1040-42D9-B16B-1494C74EBF1D}">
  <cacheSource type="external" connectionId="1"/>
  <cacheFields count="3">
    <cacheField name="[Table3].[RegionName].[RegionName]" caption="RegionName" numFmtId="0" hierarchy="17" level="1">
      <sharedItems count="3">
        <s v="North"/>
        <s v="South"/>
        <s v="West"/>
      </sharedItems>
    </cacheField>
    <cacheField name="[Measures].[Sum of SalesAmount]" caption="Sum of SalesAmount" numFmtId="0" hierarchy="22" level="32767"/>
    <cacheField name="[Table2].[Category].[Category]" caption="Category" numFmtId="0" hierarchy="14" level="1">
      <sharedItems containsSemiMixedTypes="0" containsNonDate="0" containsString="0"/>
    </cacheField>
  </cacheFields>
  <cacheHierarchies count="26">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time="1" defaultMemberUniqueName="[Table1].[OrderDate].[All]" allUniqueName="[Table1].[OrderDate].[All]" dimensionUniqueName="[Table1]" displayFolder="" count="2" memberValueDatatype="7" unbalanced="0"/>
    <cacheHierarchy uniqueName="[Table1].[ProductID]" caption="ProductID" attribute="1" defaultMemberUniqueName="[Table1].[ProductID].[All]" allUniqueName="[Table1].[ProductID].[All]" dimensionUniqueName="[Table1]" displayFolder="" count="2" memberValueDatatype="130" unbalanced="0"/>
    <cacheHierarchy uniqueName="[Table1].[RegionID]" caption="RegionID" attribute="1" defaultMemberUniqueName="[Table1].[RegionID].[All]" allUniqueName="[Table1].[Region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SalesAmount]" caption="SalesAmount" attribute="1" defaultMemberUniqueName="[Table1].[SalesAmount].[All]" allUniqueName="[Table1].[SalesAmount].[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2" memberValueDatatype="20" unbalanced="0"/>
    <cacheHierarchy uniqueName="[Table1].[WeekDay]" caption="WeekDay" attribute="1" defaultMemberUniqueName="[Table1].[WeekDay].[All]" allUniqueName="[Table1].[WeekDay].[All]" dimensionUniqueName="[Table1]" displayFolder="" count="2" memberValueDatatype="130" unbalanced="0"/>
    <cacheHierarchy uniqueName="[Table1].[Weekday  no]" caption="Weekday  no" attribute="1" defaultMemberUniqueName="[Table1].[Weekday  no].[All]" allUniqueName="[Table1].[Weekday  no].[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2" memberValueDatatype="20" unbalanced="0"/>
    <cacheHierarchy uniqueName="[Table2].[ProductID]" caption="ProductID" attribute="1" defaultMemberUniqueName="[Table2].[ProductID].[All]" allUniqueName="[Table2].[ProductID].[All]" dimensionUniqueName="[Table2]" displayFolder="" count="2" memberValueDatatype="130" unbalanced="0"/>
    <cacheHierarchy uniqueName="[Table2].[ProductName]" caption="ProductName" attribute="1" defaultMemberUniqueName="[Table2].[ProductName].[All]" allUniqueName="[Table2].[Product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Price]" caption="Price" attribute="1" defaultMemberUniqueName="[Table2].[Price].[All]" allUniqueName="[Table2].[Price].[All]" dimensionUniqueName="[Table2]" displayFolder="" count="2" memberValueDatatype="20" unbalanced="0"/>
    <cacheHierarchy uniqueName="[Table3].[RegionID]" caption="RegionID" attribute="1" defaultMemberUniqueName="[Table3].[RegionID].[All]" allUniqueName="[Table3].[RegionID].[All]" dimensionUniqueName="[Table3]" displayFolder="" count="2" memberValueDatatype="130" unbalanced="0"/>
    <cacheHierarchy uniqueName="[Table3].[RegionName]" caption="RegionName" attribute="1" defaultMemberUniqueName="[Table3].[RegionName].[All]" allUniqueName="[Table3].[RegionName].[All]" dimensionUniqueName="[Table3]"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56862384257" backgroundQuery="1" createdVersion="8" refreshedVersion="8" minRefreshableVersion="3" recordCount="0" supportSubquery="1" supportAdvancedDrill="1" xr:uid="{7AD74FA6-DC6C-45CD-96E9-4C7F2BE40659}">
  <cacheSource type="external" connectionId="1"/>
  <cacheFields count="3">
    <cacheField name="[Table2].[ProductName].[ProductName]" caption="ProductName" numFmtId="0" hierarchy="13" level="1">
      <sharedItems count="5">
        <s v="Bluetooth Speaker"/>
        <s v="Notebook"/>
        <s v="Office Chair"/>
        <s v="Water Bottle"/>
        <s v="Wireless Mouse"/>
      </sharedItems>
    </cacheField>
    <cacheField name="[Measures].[Sum of SalesAmount]" caption="Sum of SalesAmount" numFmtId="0" hierarchy="22" level="32767"/>
    <cacheField name="[Table2].[Category].[Category]" caption="Category" numFmtId="0" hierarchy="14" level="1">
      <sharedItems containsSemiMixedTypes="0" containsNonDate="0" containsString="0"/>
    </cacheField>
  </cacheFields>
  <cacheHierarchies count="26">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RegionID]" caption="RegionID" attribute="1" defaultMemberUniqueName="[Table1].[RegionID].[All]" allUniqueName="[Table1].[Region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130" unbalanced="0"/>
    <cacheHierarchy uniqueName="[Table1].[Weekday  no]" caption="Weekday  no" attribute="1" defaultMemberUniqueName="[Table1].[Weekday  no].[All]" allUniqueName="[Table1].[Weekday  no].[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Price]" caption="Price" attribute="1" defaultMemberUniqueName="[Table2].[Price].[All]" allUniqueName="[Table2].[Price].[All]" dimensionUniqueName="[Table2]" displayFolder="" count="0" memberValueDatatype="20" unbalanced="0"/>
    <cacheHierarchy uniqueName="[Table3].[RegionID]" caption="RegionID" attribute="1" defaultMemberUniqueName="[Table3].[RegionID].[All]" allUniqueName="[Table3].[RegionID].[All]" dimensionUniqueName="[Table3]" displayFolder="" count="0" memberValueDatatype="130" unbalanced="0"/>
    <cacheHierarchy uniqueName="[Table3].[RegionName]" caption="RegionName" attribute="1" defaultMemberUniqueName="[Table3].[RegionName].[All]" allUniqueName="[Table3].[RegionName].[All]" dimensionUniqueName="[Table3]"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56862847219" backgroundQuery="1" createdVersion="8" refreshedVersion="8" minRefreshableVersion="3" recordCount="0" supportSubquery="1" supportAdvancedDrill="1" xr:uid="{23792E09-44D3-45DA-8488-0F6732909F9E}">
  <cacheSource type="external" connectionId="1"/>
  <cacheFields count="2">
    <cacheField name="[Table2].[Category].[Category]" caption="Category" numFmtId="0" hierarchy="14" level="1">
      <sharedItems count="4">
        <s v="Accessories"/>
        <s v="Electronics"/>
        <s v="Furniture"/>
        <s v="Stationery"/>
      </sharedItems>
    </cacheField>
    <cacheField name="[Measures].[Sum of SalesAmount]" caption="Sum of SalesAmount" numFmtId="0" hierarchy="22" level="32767"/>
  </cacheFields>
  <cacheHierarchies count="26">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RegionID]" caption="RegionID" attribute="1" defaultMemberUniqueName="[Table1].[RegionID].[All]" allUniqueName="[Table1].[Region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130" unbalanced="0"/>
    <cacheHierarchy uniqueName="[Table1].[Weekday  no]" caption="Weekday  no" attribute="1" defaultMemberUniqueName="[Table1].[Weekday  no].[All]" allUniqueName="[Table1].[Weekday  no].[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Price]" caption="Price" attribute="1" defaultMemberUniqueName="[Table2].[Price].[All]" allUniqueName="[Table2].[Price].[All]" dimensionUniqueName="[Table2]" displayFolder="" count="0" memberValueDatatype="20" unbalanced="0"/>
    <cacheHierarchy uniqueName="[Table3].[RegionID]" caption="RegionID" attribute="1" defaultMemberUniqueName="[Table3].[RegionID].[All]" allUniqueName="[Table3].[RegionID].[All]" dimensionUniqueName="[Table3]" displayFolder="" count="0" memberValueDatatype="130" unbalanced="0"/>
    <cacheHierarchy uniqueName="[Table3].[RegionName]" caption="RegionName" attribute="1" defaultMemberUniqueName="[Table3].[RegionName].[All]" allUniqueName="[Table3].[RegionName].[All]" dimensionUniqueName="[Table3]"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56863425927" backgroundQuery="1" createdVersion="8" refreshedVersion="8" minRefreshableVersion="3" recordCount="0" supportSubquery="1" supportAdvancedDrill="1" xr:uid="{A15D3BC5-8A02-4B28-A88F-68EAA1F20535}">
  <cacheSource type="external" connectionId="1"/>
  <cacheFields count="3">
    <cacheField name="[Table3].[RegionName].[RegionName]" caption="RegionName" numFmtId="0" hierarchy="17" level="1">
      <sharedItems count="3">
        <s v="North"/>
        <s v="South"/>
        <s v="West"/>
      </sharedItems>
    </cacheField>
    <cacheField name="[Measures].[Sum of SalesAmount]" caption="Sum of SalesAmount" numFmtId="0" hierarchy="22" level="32767"/>
    <cacheField name="[Table2].[Category].[Category]" caption="Category" numFmtId="0" hierarchy="14" level="1">
      <sharedItems containsSemiMixedTypes="0" containsNonDate="0" containsString="0"/>
    </cacheField>
  </cacheFields>
  <cacheHierarchies count="26">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RegionID]" caption="RegionID" attribute="1" defaultMemberUniqueName="[Table1].[RegionID].[All]" allUniqueName="[Table1].[Region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130" unbalanced="0"/>
    <cacheHierarchy uniqueName="[Table1].[Weekday  no]" caption="Weekday  no" attribute="1" defaultMemberUniqueName="[Table1].[Weekday  no].[All]" allUniqueName="[Table1].[Weekday  no].[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Price]" caption="Price" attribute="1" defaultMemberUniqueName="[Table2].[Price].[All]" allUniqueName="[Table2].[Price].[All]" dimensionUniqueName="[Table2]" displayFolder="" count="0" memberValueDatatype="20" unbalanced="0"/>
    <cacheHierarchy uniqueName="[Table3].[RegionID]" caption="RegionID" attribute="1" defaultMemberUniqueName="[Table3].[RegionID].[All]" allUniqueName="[Table3].[RegionID].[All]" dimensionUniqueName="[Table3]" displayFolder="" count="0" memberValueDatatype="130" unbalanced="0"/>
    <cacheHierarchy uniqueName="[Table3].[RegionName]" caption="RegionName" attribute="1" defaultMemberUniqueName="[Table3].[RegionName].[All]" allUniqueName="[Table3].[RegionName].[All]" dimensionUniqueName="[Table3]"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56546527777" backgroundQuery="1" createdVersion="8" refreshedVersion="8" minRefreshableVersion="3" recordCount="0" supportSubquery="1" supportAdvancedDrill="1" xr:uid="{606E1E68-3E3C-4F60-9F49-4BF16B53019A}">
  <cacheSource type="external" connectionId="1"/>
  <cacheFields count="3">
    <cacheField name="[Table2].[ProductName].[ProductName]" caption="ProductName" numFmtId="0" hierarchy="13" level="1">
      <sharedItems count="5">
        <s v="Bluetooth Speaker"/>
        <s v="Notebook"/>
        <s v="Office Chair"/>
        <s v="Water Bottle"/>
        <s v="Wireless Mouse"/>
      </sharedItems>
    </cacheField>
    <cacheField name="[Table3].[RegionName].[RegionName]" caption="RegionName" numFmtId="0" hierarchy="17" level="1">
      <sharedItems count="3">
        <s v="North"/>
        <s v="South"/>
        <s v="West"/>
      </sharedItems>
    </cacheField>
    <cacheField name="[Measures].[Sum of SalesAmount]" caption="Sum of SalesAmount" numFmtId="0" hierarchy="22" level="32767"/>
  </cacheFields>
  <cacheHierarchies count="26">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RegionID]" caption="RegionID" attribute="1" defaultMemberUniqueName="[Table1].[RegionID].[All]" allUniqueName="[Table1].[Region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130" unbalanced="0"/>
    <cacheHierarchy uniqueName="[Table1].[Weekday  no]" caption="Weekday  no" attribute="1" defaultMemberUniqueName="[Table1].[Weekday  no].[All]" allUniqueName="[Table1].[Weekday  no].[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3].[RegionID]" caption="RegionID" attribute="1" defaultMemberUniqueName="[Table3].[RegionID].[All]" allUniqueName="[Table3].[RegionID].[All]" dimensionUniqueName="[Table3]" displayFolder="" count="0" memberValueDatatype="130" unbalanced="0"/>
    <cacheHierarchy uniqueName="[Table3].[RegionName]" caption="RegionName" attribute="1" defaultMemberUniqueName="[Table3].[RegionName].[All]" allUniqueName="[Table3].[RegionName].[All]" dimensionUniqueName="[Table3]"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39553472221" backgroundQuery="1" createdVersion="3" refreshedVersion="8" minRefreshableVersion="3" recordCount="0" supportSubquery="1" supportAdvancedDrill="1" xr:uid="{BBEE7787-97CC-4AFF-B5DF-133947F49BD8}">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RegionID]" caption="RegionID" attribute="1" defaultMemberUniqueName="[Table1].[RegionID].[All]" allUniqueName="[Table1].[Region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130" unbalanced="0"/>
    <cacheHierarchy uniqueName="[Table1].[Weekday  no]" caption="Weekday  no" attribute="1" defaultMemberUniqueName="[Table1].[Weekday  no].[All]" allUniqueName="[Table1].[Weekday  no].[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ice]" caption="Price" attribute="1" defaultMemberUniqueName="[Table2].[Price].[All]" allUniqueName="[Table2].[Price].[All]" dimensionUniqueName="[Table2]" displayFolder="" count="0" memberValueDatatype="20" unbalanced="0"/>
    <cacheHierarchy uniqueName="[Table3].[RegionID]" caption="RegionID" attribute="1" defaultMemberUniqueName="[Table3].[RegionID].[All]" allUniqueName="[Table3].[RegionID].[All]" dimensionUniqueName="[Table3]" displayFolder="" count="0" memberValueDatatype="130" unbalanced="0"/>
    <cacheHierarchy uniqueName="[Table3].[RegionName]" caption="RegionName" attribute="1" defaultMemberUniqueName="[Table3].[RegionName].[All]" allUniqueName="[Table3].[RegionName].[All]" dimensionUniqueName="[Table3]"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03428457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947929513888" backgroundQuery="1" createdVersion="3" refreshedVersion="8" minRefreshableVersion="3" recordCount="0" supportSubquery="1" supportAdvancedDrill="1" xr:uid="{BF485F1D-6F7C-4A79-B669-DF77964FCE55}">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2"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RegionID]" caption="RegionID" attribute="1" defaultMemberUniqueName="[Table1].[RegionID].[All]" allUniqueName="[Table1].[Region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130" unbalanced="0"/>
    <cacheHierarchy uniqueName="[Table1].[Weekday  no]" caption="Weekday  no" attribute="1" defaultMemberUniqueName="[Table1].[Weekday  no].[All]" allUniqueName="[Table1].[Weekday  no].[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3].[RegionID]" caption="RegionID" attribute="1" defaultMemberUniqueName="[Table3].[RegionID].[All]" allUniqueName="[Table3].[RegionID].[All]" dimensionUniqueName="[Table3]" displayFolder="" count="0" memberValueDatatype="130" unbalanced="0"/>
    <cacheHierarchy uniqueName="[Table3].[RegionName]" caption="RegionName" attribute="1" defaultMemberUniqueName="[Table3].[RegionName].[All]" allUniqueName="[Table3].[RegionName].[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Count of ProductName]" caption="Count of ProductName" measure="1" displayFolder="" measureGroup="Table2" count="0" hidden="1">
      <extLst>
        <ext xmlns:x15="http://schemas.microsoft.com/office/spreadsheetml/2010/11/main" uri="{B97F6D7D-B522-45F9-BDA1-12C45D357490}">
          <x15:cacheHierarchy aggregatedColumn="13"/>
        </ext>
      </extLst>
    </cacheHierarchy>
    <cacheHierarchy uniqueName="[Measures].[Count of RegionName]" caption="Count of RegionName" measure="1" displayFolder="" measureGroup="Table3"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926972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O001"/>
    <d v="2025-01-05T00:00:00"/>
    <s v="P101"/>
    <s v="R01"/>
    <n v="2"/>
    <x v="0"/>
    <x v="0"/>
    <n v="1"/>
    <x v="0"/>
    <n v="1"/>
    <n v="2025"/>
    <n v="1"/>
  </r>
  <r>
    <s v="O002"/>
    <d v="2025-01-06T00:00:00"/>
    <s v="P102"/>
    <s v="R02"/>
    <n v="1"/>
    <x v="1"/>
    <x v="0"/>
    <n v="1"/>
    <x v="1"/>
    <n v="2"/>
    <n v="2025"/>
    <n v="1"/>
  </r>
  <r>
    <s v="O003"/>
    <d v="2025-01-07T00:00:00"/>
    <s v="P103"/>
    <s v="R01"/>
    <n v="5"/>
    <x v="2"/>
    <x v="0"/>
    <n v="1"/>
    <x v="2"/>
    <n v="3"/>
    <n v="2025"/>
    <n v="1"/>
  </r>
  <r>
    <s v="O004"/>
    <d v="2025-01-08T00:00:00"/>
    <s v="P104"/>
    <s v="R03"/>
    <n v="1"/>
    <x v="3"/>
    <x v="0"/>
    <n v="1"/>
    <x v="3"/>
    <n v="4"/>
    <n v="2025"/>
    <n v="1"/>
  </r>
  <r>
    <s v="O005"/>
    <d v="2025-01-10T00:00:00"/>
    <s v="P105"/>
    <s v="R02"/>
    <n v="3"/>
    <x v="4"/>
    <x v="0"/>
    <n v="1"/>
    <x v="4"/>
    <n v="6"/>
    <n v="2025"/>
    <n v="1"/>
  </r>
  <r>
    <s v="O006"/>
    <d v="2025-02-15T00:00:00"/>
    <s v="P101"/>
    <s v="R01"/>
    <n v="4"/>
    <x v="5"/>
    <x v="1"/>
    <n v="2"/>
    <x v="5"/>
    <n v="7"/>
    <n v="2025"/>
    <n v="1"/>
  </r>
  <r>
    <s v="O007"/>
    <d v="2025-02-18T00:00:00"/>
    <s v="P102"/>
    <s v="R03"/>
    <n v="2"/>
    <x v="6"/>
    <x v="1"/>
    <n v="2"/>
    <x v="2"/>
    <n v="3"/>
    <n v="2025"/>
    <n v="1"/>
  </r>
  <r>
    <s v="O008"/>
    <d v="2025-02-20T00:00:00"/>
    <s v="P104"/>
    <s v="R02"/>
    <n v="1"/>
    <x v="3"/>
    <x v="1"/>
    <n v="2"/>
    <x v="6"/>
    <n v="5"/>
    <n v="2025"/>
    <n v="1"/>
  </r>
  <r>
    <s v="O009"/>
    <d v="2025-03-05T00:00:00"/>
    <s v="P103"/>
    <s v="R01"/>
    <n v="10"/>
    <x v="7"/>
    <x v="2"/>
    <n v="3"/>
    <x v="3"/>
    <n v="4"/>
    <n v="2025"/>
    <n v="1"/>
  </r>
  <r>
    <s v="O010"/>
    <d v="2025-03-08T00:00:00"/>
    <s v="P105"/>
    <s v="R03"/>
    <n v="5"/>
    <x v="8"/>
    <x v="2"/>
    <n v="3"/>
    <x v="5"/>
    <n v="7"/>
    <n v="2025"/>
    <n v="1"/>
  </r>
  <r>
    <s v="O011"/>
    <d v="2025-03-12T00:00:00"/>
    <s v="P101"/>
    <s v="R02"/>
    <n v="3"/>
    <x v="9"/>
    <x v="2"/>
    <n v="3"/>
    <x v="3"/>
    <n v="4"/>
    <n v="2025"/>
    <n v="1"/>
  </r>
  <r>
    <s v="O012"/>
    <d v="2025-03-18T00:00:00"/>
    <s v="P102"/>
    <s v="R01"/>
    <n v="1"/>
    <x v="1"/>
    <x v="2"/>
    <n v="3"/>
    <x v="2"/>
    <n v="3"/>
    <n v="202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A2F6AA-D6A4-4722-B0E5-3509F61D31C8}" name="PivotTable37" cacheId="15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7:H24"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6">
    <i>
      <x/>
    </i>
    <i>
      <x v="1"/>
    </i>
    <i>
      <x v="2"/>
    </i>
    <i>
      <x v="3"/>
    </i>
    <i>
      <x v="4"/>
    </i>
    <i t="grand">
      <x/>
    </i>
  </rowItems>
  <colFields count="1">
    <field x="1"/>
  </colFields>
  <colItems count="4">
    <i>
      <x/>
    </i>
    <i>
      <x v="1"/>
    </i>
    <i>
      <x v="2"/>
    </i>
    <i t="grand">
      <x/>
    </i>
  </colItems>
  <dataFields count="1">
    <dataField name="Sum of SalesAmount" fld="2" baseField="0" baseItem="0"/>
  </dataFields>
  <formats count="2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 type="button" dataOnly="0" labelOnly="1" outline="0" axis="axisCol" fieldPosition="0"/>
    </format>
    <format dxfId="15">
      <pivotArea type="topRight" dataOnly="0" labelOnly="1" outline="0"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fieldPosition="0">
        <references count="1">
          <reference field="1"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fieldPosition="0">
        <references count="1">
          <reference field="1" count="0"/>
        </references>
      </pivotArea>
    </format>
    <format dxfId="0">
      <pivotArea dataOnly="0" labelOnly="1" grandCol="1" outline="0"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13"/>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6D33B-2179-415D-A916-CB8F5432EAE0}" name="PivotTable32" cacheId="14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B5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5083B1-F114-4C2C-8048-E5573E5E295F}" name="PivotTable31" cacheId="15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39:B4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12CCD5-91D9-436E-BCC8-6E8C4F04041E}" name="PivotTable23" cacheId="15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1:B3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B7966E-1DBA-4275-AF3A-3C59A4211477}" name="PivotTable19"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18" firstHeaderRow="1" firstDataRow="1" firstDataCol="1"/>
  <pivotFields count="12">
    <pivotField showAll="0"/>
    <pivotField numFmtId="15" showAll="0"/>
    <pivotField showAll="0"/>
    <pivotField showAll="0"/>
    <pivotField showAll="0"/>
    <pivotField dataField="1" showAll="0">
      <items count="11">
        <item x="2"/>
        <item x="7"/>
        <item x="4"/>
        <item x="0"/>
        <item x="9"/>
        <item x="8"/>
        <item x="1"/>
        <item x="5"/>
        <item x="6"/>
        <item x="3"/>
        <item t="default"/>
      </items>
    </pivotField>
    <pivotField axis="axisRow" showAll="0">
      <items count="4">
        <item x="0"/>
        <item x="1"/>
        <item x="2"/>
        <item t="default"/>
      </items>
    </pivotField>
    <pivotField showAll="0"/>
    <pivotField showAll="0"/>
    <pivotField showAll="0"/>
    <pivotField showAll="0"/>
    <pivotField showAll="0"/>
  </pivotFields>
  <rowFields count="1">
    <field x="6"/>
  </rowFields>
  <rowItems count="4">
    <i>
      <x/>
    </i>
    <i>
      <x v="1"/>
    </i>
    <i>
      <x v="2"/>
    </i>
    <i t="grand">
      <x/>
    </i>
  </rowItems>
  <colItems count="1">
    <i/>
  </colItems>
  <dataFields count="1">
    <dataField name="Sum of SalesAmount" fld="5"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74AE49-EF73-4FE2-B063-BBB6E158B25B}" name="PivotTable17"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8" firstHeaderRow="1" firstDataRow="1" firstDataCol="1"/>
  <pivotFields count="12">
    <pivotField showAll="0"/>
    <pivotField numFmtId="15" showAll="0"/>
    <pivotField showAll="0"/>
    <pivotField showAll="0"/>
    <pivotField showAll="0"/>
    <pivotField dataField="1" showAll="0"/>
    <pivotField showAll="0"/>
    <pivotField showAll="0"/>
    <pivotField axis="axisRow" showAll="0">
      <items count="8">
        <item x="0"/>
        <item x="1"/>
        <item x="2"/>
        <item x="3"/>
        <item x="6"/>
        <item x="4"/>
        <item x="5"/>
        <item t="default"/>
      </items>
    </pivotField>
    <pivotField showAll="0"/>
    <pivotField showAll="0"/>
    <pivotField showAll="0"/>
  </pivotFields>
  <rowFields count="1">
    <field x="8"/>
  </rowFields>
  <rowItems count="8">
    <i>
      <x/>
    </i>
    <i>
      <x v="1"/>
    </i>
    <i>
      <x v="2"/>
    </i>
    <i>
      <x v="3"/>
    </i>
    <i>
      <x v="4"/>
    </i>
    <i>
      <x v="5"/>
    </i>
    <i>
      <x v="6"/>
    </i>
    <i t="grand">
      <x/>
    </i>
  </rowItems>
  <colItems count="1">
    <i/>
  </colItems>
  <dataFields count="1">
    <dataField name="Sum of Sales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EDA804-7EE0-45EC-B354-1D09020A47DA}" name="PivotTable14" cacheId="15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REGION BY SALES">
  <location ref="G1:H5"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SalesAmount" fld="1"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D2DD16-4D78-4540-BA09-8D6F89CDFA99}" name="PivotTable13" cacheId="15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PRODUCT Y SALES">
  <location ref="E1:F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4"/>
    </i>
    <i>
      <x v="3"/>
    </i>
    <i>
      <x v="1"/>
    </i>
    <i t="grand">
      <x/>
    </i>
  </rowItems>
  <colItems count="1">
    <i/>
  </colItems>
  <dataFields count="1">
    <dataField name="Sum of SalesAmount" fld="1"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D27AB9-12C0-4D86-BBE6-D1FCF4D8E958}" name="PivotTable9" cacheId="1532"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location ref="A1:D12" firstHeaderRow="0" firstDataRow="1" firstDataCol="2"/>
  <pivotFields count="5">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2">
    <field x="2"/>
    <field x="3"/>
  </rowFields>
  <rowItems count="11">
    <i>
      <x/>
      <x/>
    </i>
    <i r="1">
      <x v="1"/>
    </i>
    <i r="1">
      <x v="2"/>
    </i>
    <i>
      <x v="1"/>
      <x/>
    </i>
    <i>
      <x v="2"/>
      <x v="1"/>
    </i>
    <i r="1">
      <x v="2"/>
    </i>
    <i>
      <x v="3"/>
      <x v="1"/>
    </i>
    <i r="1">
      <x v="2"/>
    </i>
    <i>
      <x v="4"/>
      <x/>
    </i>
    <i r="1">
      <x v="1"/>
    </i>
    <i t="grand">
      <x/>
    </i>
  </rowItems>
  <colFields count="1">
    <field x="-2"/>
  </colFields>
  <colItems count="2">
    <i>
      <x/>
    </i>
    <i i="1">
      <x v="1"/>
    </i>
  </colItems>
  <dataFields count="2">
    <dataField name="TOTAL SALES" fld="0" baseField="3" baseItem="1"/>
    <dataField name="TOTAL ORDERS" fld="1" subtotal="count" baseField="3" baseItem="1"/>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ORDERS"/>
  </pivotHierarchies>
  <pivotTableStyleInfo name="PivotStyleDark6" showRowHeaders="1" showColHeaders="1" showRowStripes="0" showColStripes="0" showLastColumn="1"/>
  <rowHierarchiesUsage count="2">
    <rowHierarchyUsage hierarchyUsage="13"/>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AC92D0-BB60-4204-A180-4D0A7091141F}" name="PivotTable8" cacheId="15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3:B5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Amount" fld="1" baseField="0"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8E1FDA-5331-44DF-B34B-C55CE11AEE7C}" name="PivotTable7" cacheId="15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3:B4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Amount" fld="1" baseField="0" baseItem="0"/>
  </dataField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4951EA-C373-4A52-B26A-03866EC2A1D8}" name="PivotTable6" cacheId="15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3:B3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Amount"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B36E61-78A5-45EA-A777-803F98F156B4}" name="PivotTable3"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B27" firstHeaderRow="1" firstDataRow="1" firstDataCol="1"/>
  <pivotFields count="12">
    <pivotField showAll="0"/>
    <pivotField numFmtId="15" showAll="0"/>
    <pivotField showAll="0"/>
    <pivotField showAll="0"/>
    <pivotField showAll="0"/>
    <pivotField dataField="1" showAll="0"/>
    <pivotField showAll="0"/>
    <pivotField showAll="0"/>
    <pivotField axis="axisRow" showAll="0">
      <items count="8">
        <item x="0"/>
        <item x="1"/>
        <item x="2"/>
        <item x="3"/>
        <item x="6"/>
        <item x="4"/>
        <item x="5"/>
        <item t="default"/>
      </items>
    </pivotField>
    <pivotField showAll="0"/>
    <pivotField showAll="0"/>
    <pivotField showAll="0"/>
  </pivotFields>
  <rowFields count="1">
    <field x="8"/>
  </rowFields>
  <rowItems count="8">
    <i>
      <x/>
    </i>
    <i>
      <x v="1"/>
    </i>
    <i>
      <x v="2"/>
    </i>
    <i>
      <x v="3"/>
    </i>
    <i>
      <x v="4"/>
    </i>
    <i>
      <x v="5"/>
    </i>
    <i>
      <x v="6"/>
    </i>
    <i t="grand">
      <x/>
    </i>
  </rowItems>
  <colItems count="1">
    <i/>
  </colItems>
  <dataFields count="1">
    <dataField name="Sum of SalesAmount"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62882D-A9EC-4817-9AB9-2FEAFECB5E6B}" name="PivotTable2"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2">
    <pivotField showAll="0"/>
    <pivotField numFmtId="15" showAll="0"/>
    <pivotField showAll="0"/>
    <pivotField showAll="0"/>
    <pivotField showAll="0"/>
    <pivotField dataField="1" showAll="0">
      <items count="11">
        <item x="2"/>
        <item x="7"/>
        <item x="4"/>
        <item x="0"/>
        <item x="9"/>
        <item x="8"/>
        <item x="1"/>
        <item x="5"/>
        <item x="6"/>
        <item x="3"/>
        <item t="default"/>
      </items>
    </pivotField>
    <pivotField axis="axisRow" showAll="0">
      <items count="4">
        <item x="0"/>
        <item x="1"/>
        <item x="2"/>
        <item t="default"/>
      </items>
    </pivotField>
    <pivotField showAll="0"/>
    <pivotField showAll="0"/>
    <pivotField showAll="0"/>
    <pivotField showAll="0"/>
    <pivotField showAll="0"/>
  </pivotFields>
  <rowFields count="1">
    <field x="6"/>
  </rowFields>
  <rowItems count="4">
    <i>
      <x/>
    </i>
    <i>
      <x v="1"/>
    </i>
    <i>
      <x v="2"/>
    </i>
    <i t="grand">
      <x/>
    </i>
  </rowItems>
  <colItems count="1">
    <i/>
  </colItems>
  <dataFields count="1">
    <dataField name="Sum of SalesAmount" fld="5"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Name" xr10:uid="{CEA15B94-2735-4BBC-B5C7-A54593FD9256}" sourceName="[Table3].[RegionName]">
  <pivotTables>
    <pivotTable tabId="6" name="PivotTable31"/>
    <pivotTable tabId="6" name="PivotTable13"/>
    <pivotTable tabId="6" name="PivotTable14"/>
    <pivotTable tabId="6" name="PivotTable23"/>
    <pivotTable tabId="6" name="PivotTable32"/>
    <pivotTable tabId="6" name="PivotTable9"/>
    <pivotTable tabId="5" name="PivotTable6"/>
    <pivotTable tabId="5" name="PivotTable7"/>
    <pivotTable tabId="5" name="PivotTable8"/>
    <pivotTable tabId="4" name="PivotTable37"/>
  </pivotTables>
  <data>
    <olap pivotCacheId="2034284572">
      <levels count="2">
        <level uniqueName="[Table3].[RegionName].[(All)]" sourceCaption="(All)" count="0"/>
        <level uniqueName="[Table3].[RegionName].[RegionName]" sourceCaption="RegionName" count="3">
          <ranges>
            <range startItem="0">
              <i n="[Table3].[RegionName].&amp;[North]" c="North"/>
              <i n="[Table3].[RegionName].&amp;[South]" c="South"/>
              <i n="[Table3].[RegionName].&amp;[West]" c="West"/>
            </range>
          </ranges>
        </level>
      </levels>
      <selections count="1">
        <selection n="[Table3].[Region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CB34EA-1A6F-4F28-B2C1-1735B9E38F87}" sourceName="[Table2].[Category]">
  <pivotTables>
    <pivotTable tabId="6" name="PivotTable9"/>
    <pivotTable tabId="6" name="PivotTable13"/>
    <pivotTable tabId="6" name="PivotTable14"/>
    <pivotTable tabId="6" name="PivotTable23"/>
    <pivotTable tabId="6" name="PivotTable31"/>
    <pivotTable tabId="5" name="PivotTable6"/>
    <pivotTable tabId="5" name="PivotTable7"/>
    <pivotTable tabId="5" name="PivotTable8"/>
  </pivotTables>
  <data>
    <olap pivotCacheId="2034284572">
      <levels count="2">
        <level uniqueName="[Table2].[Category].[(All)]" sourceCaption="(All)" count="0"/>
        <level uniqueName="[Table2].[Category].[Category]" sourceCaption="Category" count="4">
          <ranges>
            <range startItem="0">
              <i n="[Table2].[Category].&amp;[Accessories]" c="Accessories"/>
              <i n="[Table2].[Category].&amp;[Electronics]" c="Electronics"/>
              <i n="[Table2].[Category].&amp;[Furniture]" c="Furniture"/>
              <i n="[Table2].[Category].&amp;[Stationery]" c="Stationery"/>
            </range>
          </ranges>
        </level>
      </levels>
      <selections count="1">
        <selection n="[Table2].[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2007AF75-0A43-4BB9-A2EC-F0C873830469}" sourceName="[Table2].[ProductName]">
  <pivotTables>
    <pivotTable tabId="6" name="PivotTable9"/>
    <pivotTable tabId="6" name="PivotTable13"/>
    <pivotTable tabId="6" name="PivotTable14"/>
    <pivotTable tabId="6" name="PivotTable23"/>
    <pivotTable tabId="6" name="PivotTable31"/>
    <pivotTable tabId="6" name="PivotTable32"/>
    <pivotTable tabId="5" name="PivotTable6"/>
    <pivotTable tabId="5" name="PivotTable7"/>
    <pivotTable tabId="5" name="PivotTable8"/>
    <pivotTable tabId="4" name="PivotTable37"/>
  </pivotTables>
  <data>
    <olap pivotCacheId="2034284572">
      <levels count="2">
        <level uniqueName="[Table2].[ProductName].[(All)]" sourceCaption="(All)" count="0"/>
        <level uniqueName="[Table2].[ProductName].[ProductName]" sourceCaption="ProductName" count="5">
          <ranges>
            <range startItem="0">
              <i n="[Table2].[ProductName].&amp;[Bluetooth Speaker]" c="Bluetooth Speaker"/>
              <i n="[Table2].[ProductName].&amp;[Notebook]" c="Notebook"/>
              <i n="[Table2].[ProductName].&amp;[Office Chair]" c="Office Chair"/>
              <i n="[Table2].[ProductName].&amp;[Water Bottle]" c="Water Bottle"/>
              <i n="[Table2].[ProductName].&amp;[Wireless Mouse]" c="Wireless Mouse"/>
            </range>
          </ranges>
        </level>
      </levels>
      <selections count="1">
        <selection n="[Table2].[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Name" xr10:uid="{3B8635A7-31AD-4CE6-A70E-CAFC8D6741BF}" cache="Slicer_RegionName" caption="RegionName" level="1" style="SlicerStyleDark5" rowHeight="241300"/>
  <slicer name="Category" xr10:uid="{7F04E1BD-E5DC-4DE5-9F32-A5861C660318}" cache="Slicer_Category" caption="Category" level="1" style="SlicerStyleDark5" rowHeight="241300"/>
  <slicer name="ProductName" xr10:uid="{FF403387-4698-4A82-99E8-C2AFDCD199EF}" cache="Slicer_ProductName" caption="ProductName" startItem="1"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2E5E6E-A30A-42B7-A1E8-59CEC5CDC1A9}" name="Table1" displayName="Table1" ref="A1:L13" totalsRowShown="0" headerRowDxfId="21" dataDxfId="20">
  <autoFilter ref="A1:L13" xr:uid="{FF2E5E6E-A30A-42B7-A1E8-59CEC5CDC1A9}"/>
  <tableColumns count="12">
    <tableColumn id="1" xr3:uid="{9846210C-6784-4014-9AF4-FEAF2C409192}" name="OrderID" dataDxfId="33"/>
    <tableColumn id="2" xr3:uid="{0DBE9CAC-E1CF-4565-9985-9DA68FDB0529}" name="OrderDate" dataDxfId="32"/>
    <tableColumn id="3" xr3:uid="{D5623707-E20F-42D8-B5F2-3EA3C2FF9B3E}" name="ProductID" dataDxfId="31"/>
    <tableColumn id="4" xr3:uid="{C95D1CF8-3427-48EB-8847-B05506A9DC51}" name="RegionID" dataDxfId="30"/>
    <tableColumn id="5" xr3:uid="{EAFCC01A-56E5-4601-8731-7C8F75C8E96E}" name="Quantity" dataDxfId="29"/>
    <tableColumn id="6" xr3:uid="{892ACA02-6CED-44C1-91F8-CA96EF7E218A}" name="SalesAmount" dataDxfId="28"/>
    <tableColumn id="7" xr3:uid="{84ED0CB1-8CBE-4E0D-820C-EAF8BAB53431}" name="Month" dataDxfId="27">
      <calculatedColumnFormula>TEXT(Table1[[#This Row],[OrderDate]],"mmm")</calculatedColumnFormula>
    </tableColumn>
    <tableColumn id="8" xr3:uid="{B363C28A-ABF3-4BD4-B0F7-C09E54E24EEC}" name="Month No" dataDxfId="26">
      <calculatedColumnFormula>MONTH(Table1[[#This Row],[OrderDate]])</calculatedColumnFormula>
    </tableColumn>
    <tableColumn id="9" xr3:uid="{C14AF5BF-7250-457C-9A75-8C47D2645C47}" name="WeekDay" dataDxfId="25">
      <calculatedColumnFormula>TEXT(Table1[[#This Row],[OrderDate]],"ddd")</calculatedColumnFormula>
    </tableColumn>
    <tableColumn id="10" xr3:uid="{D6DFF6F8-92A9-451A-A33C-504CAE108EB6}" name="Weekday  no" dataDxfId="24">
      <calculatedColumnFormula>WEEKDAY(Table1[[#This Row],[OrderDate]])</calculatedColumnFormula>
    </tableColumn>
    <tableColumn id="11" xr3:uid="{506E08D1-486C-435C-B65F-4C4DD40DDABE}" name="Year" dataDxfId="23">
      <calculatedColumnFormula>YEAR(Table1[[#This Row],[OrderDate]])</calculatedColumnFormula>
    </tableColumn>
    <tableColumn id="12" xr3:uid="{90D44946-0DF0-40B0-9A37-1805EDFB1A59}" name="Quarter" dataDxfId="22">
      <calculatedColumnFormula>ROUNDUP(MONTH(Table1[[#This Row],[OrderDate]])/3,0)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B6DCEA-7D85-46E1-9786-F7AE2A31E1BE}" name="Table2" displayName="Table2" ref="A1:D6" totalsRowShown="0" headerRowDxfId="38" dataDxfId="39">
  <autoFilter ref="A1:D6" xr:uid="{0AB6DCEA-7D85-46E1-9786-F7AE2A31E1BE}"/>
  <tableColumns count="4">
    <tableColumn id="1" xr3:uid="{457D7855-5F8C-4FB7-9CEA-386AE32EDA62}" name="ProductID" dataDxfId="43"/>
    <tableColumn id="2" xr3:uid="{76DAEE29-C4DB-4D1B-BB05-0F58CEC6B727}" name="ProductName" dataDxfId="42"/>
    <tableColumn id="3" xr3:uid="{21B75D85-6334-41BA-A849-D6D105013D69}" name="Category" dataDxfId="41"/>
    <tableColumn id="4" xr3:uid="{AE33ABDB-513E-497F-8CD8-A255E32981EB}" name="Price" dataDxfId="4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AD8D7C-3C00-4768-90F5-B999B5572415}" name="Table3" displayName="Table3" ref="A1:B4" totalsRowShown="0" headerRowDxfId="34" dataDxfId="35">
  <autoFilter ref="A1:B4" xr:uid="{5AAD8D7C-3C00-4768-90F5-B999B5572415}"/>
  <tableColumns count="2">
    <tableColumn id="1" xr3:uid="{5A28002C-E391-41FF-8AED-E62B1878E87F}" name="RegionID" dataDxfId="37"/>
    <tableColumn id="2" xr3:uid="{50E862D5-53B4-4B54-8651-C14A9CA0EBC9}" name="RegionName"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5C1F1F7A-3A9B-4BD1-A115-BF0D8EF1320F}" sourceName="[Table1].[OrderDate]">
  <pivotTables>
    <pivotTable tabId="6" name="PivotTable9"/>
  </pivotTables>
  <state minimalRefreshVersion="6" lastRefreshVersion="6" pivotCacheId="19269721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9B94F988-FAFB-43A4-9C63-70CB87FC7656}" cache="Timeline_OrderDate" caption="OrderDate" level="2" selectionLevel="2" scrollPosition="2025-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11/relationships/timeline" Target="../timelines/timeline1.xml"/><Relationship Id="rId5" Type="http://schemas.openxmlformats.org/officeDocument/2006/relationships/pivotTable" Target="../pivotTables/pivotTable6.xml"/><Relationship Id="rId10"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2.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376F2-11B7-4094-AD52-D6F222256DB1}">
  <dimension ref="C16:J24"/>
  <sheetViews>
    <sheetView tabSelected="1" topLeftCell="A10" workbookViewId="0">
      <selection activeCell="E28" sqref="E28"/>
    </sheetView>
  </sheetViews>
  <sheetFormatPr defaultRowHeight="15" x14ac:dyDescent="0.25"/>
  <cols>
    <col min="1" max="1" width="19.5703125" bestFit="1" customWidth="1"/>
    <col min="2" max="2" width="8.7109375" customWidth="1"/>
    <col min="3" max="3" width="6.140625" hidden="1" customWidth="1"/>
    <col min="4" max="4" width="33.85546875" customWidth="1"/>
    <col min="5" max="5" width="18" customWidth="1"/>
    <col min="6" max="6" width="16.140625" customWidth="1"/>
    <col min="7" max="7" width="18" customWidth="1"/>
    <col min="8" max="8" width="17.5703125" customWidth="1"/>
    <col min="9" max="9" width="9.140625" hidden="1" customWidth="1"/>
    <col min="10" max="10" width="17.28515625" customWidth="1"/>
    <col min="11" max="11" width="35.140625" customWidth="1"/>
    <col min="12" max="12" width="21" customWidth="1"/>
    <col min="13" max="13" width="18.5703125" customWidth="1"/>
    <col min="14" max="14" width="14.140625" customWidth="1"/>
    <col min="15" max="15" width="15.42578125" customWidth="1"/>
  </cols>
  <sheetData>
    <row r="16" spans="4:10" x14ac:dyDescent="0.25">
      <c r="D16" s="13"/>
      <c r="E16" s="13"/>
      <c r="F16" s="13"/>
      <c r="G16" s="13"/>
      <c r="H16" s="13"/>
      <c r="I16" s="13"/>
      <c r="J16" s="13"/>
    </row>
    <row r="17" spans="4:10" x14ac:dyDescent="0.25">
      <c r="D17" s="19" t="s">
        <v>51</v>
      </c>
      <c r="E17" s="19" t="s">
        <v>50</v>
      </c>
      <c r="F17" s="13"/>
      <c r="G17" s="13"/>
      <c r="H17" s="13"/>
      <c r="I17" s="13"/>
      <c r="J17" s="13"/>
    </row>
    <row r="18" spans="4:10" x14ac:dyDescent="0.25">
      <c r="D18" s="19" t="s">
        <v>48</v>
      </c>
      <c r="E18" s="13" t="s">
        <v>39</v>
      </c>
      <c r="F18" s="13" t="s">
        <v>40</v>
      </c>
      <c r="G18" s="13" t="s">
        <v>41</v>
      </c>
      <c r="H18" s="13" t="s">
        <v>49</v>
      </c>
      <c r="I18" s="13"/>
      <c r="J18" s="13"/>
    </row>
    <row r="19" spans="4:10" x14ac:dyDescent="0.25">
      <c r="D19" s="13" t="s">
        <v>31</v>
      </c>
      <c r="E19" s="20">
        <v>2499</v>
      </c>
      <c r="F19" s="20">
        <v>2499</v>
      </c>
      <c r="G19" s="20">
        <v>4998</v>
      </c>
      <c r="H19" s="20">
        <v>9996</v>
      </c>
      <c r="I19" s="13"/>
      <c r="J19" s="13"/>
    </row>
    <row r="20" spans="4:10" x14ac:dyDescent="0.25">
      <c r="D20" s="13" t="s">
        <v>32</v>
      </c>
      <c r="E20" s="20">
        <v>1800</v>
      </c>
      <c r="F20" s="20"/>
      <c r="G20" s="20"/>
      <c r="H20" s="20">
        <v>1800</v>
      </c>
      <c r="I20" s="13"/>
      <c r="J20" s="13"/>
    </row>
    <row r="21" spans="4:10" x14ac:dyDescent="0.25">
      <c r="D21" s="13" t="s">
        <v>34</v>
      </c>
      <c r="E21" s="20"/>
      <c r="F21" s="20">
        <v>6999</v>
      </c>
      <c r="G21" s="20">
        <v>6999</v>
      </c>
      <c r="H21" s="20">
        <v>13998</v>
      </c>
      <c r="I21" s="13"/>
      <c r="J21" s="13"/>
    </row>
    <row r="22" spans="4:10" x14ac:dyDescent="0.25">
      <c r="D22" s="13" t="s">
        <v>36</v>
      </c>
      <c r="E22" s="20"/>
      <c r="F22" s="20">
        <v>1497</v>
      </c>
      <c r="G22" s="20">
        <v>2495</v>
      </c>
      <c r="H22" s="20">
        <v>3992</v>
      </c>
      <c r="I22" s="13"/>
      <c r="J22" s="13"/>
    </row>
    <row r="23" spans="4:10" x14ac:dyDescent="0.25">
      <c r="D23" s="13" t="s">
        <v>29</v>
      </c>
      <c r="E23" s="20">
        <v>4794</v>
      </c>
      <c r="F23" s="20">
        <v>2397</v>
      </c>
      <c r="G23" s="20"/>
      <c r="H23" s="20">
        <v>7191</v>
      </c>
      <c r="I23" s="13"/>
      <c r="J23" s="13"/>
    </row>
    <row r="24" spans="4:10" x14ac:dyDescent="0.25">
      <c r="D24" s="13" t="s">
        <v>49</v>
      </c>
      <c r="E24" s="20">
        <v>9093</v>
      </c>
      <c r="F24" s="20">
        <v>13392</v>
      </c>
      <c r="G24" s="20">
        <v>14492</v>
      </c>
      <c r="H24" s="20">
        <v>36977</v>
      </c>
      <c r="I24" s="13"/>
      <c r="J24"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A8948-9E21-4E7F-A8B4-0BD572C1F241}">
  <dimension ref="A1:AI58"/>
  <sheetViews>
    <sheetView workbookViewId="0">
      <selection activeCell="E54" sqref="E54"/>
    </sheetView>
  </sheetViews>
  <sheetFormatPr defaultRowHeight="15" x14ac:dyDescent="0.25"/>
  <cols>
    <col min="1" max="1" width="13.140625" bestFit="1" customWidth="1"/>
    <col min="2" max="2" width="19.5703125" bestFit="1" customWidth="1"/>
    <col min="3" max="3" width="12.140625" bestFit="1" customWidth="1"/>
    <col min="4" max="4" width="14.140625" customWidth="1"/>
    <col min="5" max="5" width="23.28515625" bestFit="1" customWidth="1"/>
    <col min="6" max="6" width="19.5703125" bestFit="1" customWidth="1"/>
    <col min="7" max="7" width="22.85546875" bestFit="1" customWidth="1"/>
    <col min="8" max="8" width="19.5703125" bestFit="1" customWidth="1"/>
  </cols>
  <sheetData>
    <row r="1" spans="1:35" x14ac:dyDescent="0.25">
      <c r="A1" s="5" t="s">
        <v>26</v>
      </c>
      <c r="B1" s="5" t="s">
        <v>38</v>
      </c>
      <c r="C1" t="s">
        <v>68</v>
      </c>
      <c r="D1" t="s">
        <v>69</v>
      </c>
      <c r="E1" s="5" t="s">
        <v>70</v>
      </c>
      <c r="F1" t="s">
        <v>51</v>
      </c>
      <c r="G1" s="5" t="s">
        <v>71</v>
      </c>
      <c r="H1" t="s">
        <v>51</v>
      </c>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row>
    <row r="2" spans="1:35" x14ac:dyDescent="0.25">
      <c r="A2" t="s">
        <v>31</v>
      </c>
      <c r="B2" t="s">
        <v>39</v>
      </c>
      <c r="C2" s="7">
        <v>2499</v>
      </c>
      <c r="D2" s="7">
        <v>1</v>
      </c>
      <c r="E2" s="6" t="s">
        <v>34</v>
      </c>
      <c r="F2" s="7">
        <v>13998</v>
      </c>
      <c r="G2" s="6" t="s">
        <v>41</v>
      </c>
      <c r="H2" s="7">
        <v>14492</v>
      </c>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row>
    <row r="3" spans="1:35" x14ac:dyDescent="0.25">
      <c r="B3" t="s">
        <v>40</v>
      </c>
      <c r="C3" s="7">
        <v>2499</v>
      </c>
      <c r="D3" s="7">
        <v>1</v>
      </c>
      <c r="E3" s="6" t="s">
        <v>31</v>
      </c>
      <c r="F3" s="7">
        <v>9996</v>
      </c>
      <c r="G3" s="6" t="s">
        <v>40</v>
      </c>
      <c r="H3" s="7">
        <v>13392</v>
      </c>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spans="1:35" x14ac:dyDescent="0.25">
      <c r="B4" t="s">
        <v>41</v>
      </c>
      <c r="C4" s="7">
        <v>4998</v>
      </c>
      <c r="D4" s="7">
        <v>1</v>
      </c>
      <c r="E4" s="6" t="s">
        <v>29</v>
      </c>
      <c r="F4" s="7">
        <v>7191</v>
      </c>
      <c r="G4" s="6" t="s">
        <v>39</v>
      </c>
      <c r="H4" s="7">
        <v>9093</v>
      </c>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row>
    <row r="5" spans="1:35" x14ac:dyDescent="0.25">
      <c r="A5" t="s">
        <v>32</v>
      </c>
      <c r="B5" t="s">
        <v>39</v>
      </c>
      <c r="C5" s="7">
        <v>1800</v>
      </c>
      <c r="D5" s="7">
        <v>2</v>
      </c>
      <c r="E5" s="6" t="s">
        <v>36</v>
      </c>
      <c r="F5" s="7">
        <v>3992</v>
      </c>
      <c r="G5" s="6" t="s">
        <v>49</v>
      </c>
      <c r="H5" s="7">
        <v>36977</v>
      </c>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row>
    <row r="6" spans="1:35" x14ac:dyDescent="0.25">
      <c r="A6" t="s">
        <v>34</v>
      </c>
      <c r="B6" t="s">
        <v>40</v>
      </c>
      <c r="C6" s="7">
        <v>6999</v>
      </c>
      <c r="D6" s="7">
        <v>1</v>
      </c>
      <c r="E6" s="6" t="s">
        <v>32</v>
      </c>
      <c r="F6" s="7">
        <v>1800</v>
      </c>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row>
    <row r="7" spans="1:35" x14ac:dyDescent="0.25">
      <c r="B7" t="s">
        <v>41</v>
      </c>
      <c r="C7" s="7">
        <v>6999</v>
      </c>
      <c r="D7" s="7">
        <v>1</v>
      </c>
      <c r="E7" s="6" t="s">
        <v>49</v>
      </c>
      <c r="F7" s="7">
        <v>36977</v>
      </c>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row>
    <row r="8" spans="1:35" x14ac:dyDescent="0.25">
      <c r="A8" t="s">
        <v>36</v>
      </c>
      <c r="B8" t="s">
        <v>40</v>
      </c>
      <c r="C8" s="7">
        <v>1497</v>
      </c>
      <c r="D8" s="7">
        <v>1</v>
      </c>
      <c r="E8" s="18" t="s">
        <v>67</v>
      </c>
      <c r="F8" s="18"/>
      <c r="G8" s="18"/>
      <c r="H8" s="18"/>
      <c r="I8" s="18"/>
      <c r="J8" s="18"/>
      <c r="K8" s="17"/>
      <c r="L8" s="17"/>
      <c r="M8" s="16"/>
      <c r="N8" s="16"/>
      <c r="O8" s="16"/>
      <c r="P8" s="16"/>
      <c r="Q8" s="16"/>
      <c r="R8" s="16"/>
      <c r="S8" s="16"/>
      <c r="T8" s="16"/>
      <c r="U8" s="16"/>
      <c r="V8" s="16"/>
      <c r="W8" s="16"/>
      <c r="X8" s="16"/>
      <c r="Y8" s="16"/>
      <c r="Z8" s="16"/>
      <c r="AA8" s="16"/>
      <c r="AB8" s="16"/>
      <c r="AC8" s="16"/>
      <c r="AD8" s="16"/>
      <c r="AE8" s="16"/>
      <c r="AF8" s="16"/>
      <c r="AG8" s="16"/>
      <c r="AH8" s="16"/>
      <c r="AI8" s="16"/>
    </row>
    <row r="9" spans="1:35" x14ac:dyDescent="0.25">
      <c r="B9" t="s">
        <v>41</v>
      </c>
      <c r="C9" s="7">
        <v>2495</v>
      </c>
      <c r="D9" s="7">
        <v>1</v>
      </c>
      <c r="E9" s="18"/>
      <c r="F9" s="18"/>
      <c r="G9" s="18"/>
      <c r="H9" s="18"/>
      <c r="I9" s="18"/>
      <c r="J9" s="18"/>
      <c r="K9" s="17"/>
      <c r="L9" s="17"/>
      <c r="M9" s="16"/>
      <c r="N9" s="16"/>
      <c r="O9" s="16"/>
      <c r="P9" s="16"/>
      <c r="Q9" s="16"/>
      <c r="R9" s="16"/>
      <c r="S9" s="16"/>
      <c r="T9" s="16"/>
      <c r="U9" s="16"/>
      <c r="V9" s="16"/>
      <c r="W9" s="16"/>
      <c r="X9" s="16"/>
      <c r="Y9" s="16"/>
      <c r="Z9" s="16"/>
      <c r="AA9" s="16"/>
      <c r="AB9" s="16"/>
      <c r="AC9" s="16"/>
      <c r="AD9" s="16"/>
      <c r="AE9" s="16"/>
      <c r="AF9" s="16"/>
      <c r="AG9" s="16"/>
      <c r="AH9" s="16"/>
      <c r="AI9" s="16"/>
    </row>
    <row r="10" spans="1:35" x14ac:dyDescent="0.25">
      <c r="A10" t="s">
        <v>29</v>
      </c>
      <c r="B10" t="s">
        <v>39</v>
      </c>
      <c r="C10" s="7">
        <v>4794</v>
      </c>
      <c r="D10" s="7">
        <v>2</v>
      </c>
      <c r="E10" s="18"/>
      <c r="F10" s="18"/>
      <c r="G10" s="18"/>
      <c r="H10" s="18"/>
      <c r="I10" s="18"/>
      <c r="J10" s="18"/>
      <c r="K10" s="17"/>
      <c r="L10" s="17"/>
      <c r="M10" s="16"/>
      <c r="N10" s="16"/>
      <c r="O10" s="16"/>
      <c r="P10" s="16"/>
      <c r="Q10" s="16"/>
      <c r="R10" s="16"/>
      <c r="S10" s="16"/>
      <c r="T10" s="16"/>
      <c r="U10" s="16"/>
      <c r="V10" s="16"/>
      <c r="W10" s="16"/>
      <c r="X10" s="16"/>
      <c r="Y10" s="16"/>
      <c r="Z10" s="16"/>
      <c r="AA10" s="16"/>
      <c r="AB10" s="16"/>
      <c r="AC10" s="16"/>
      <c r="AD10" s="16"/>
      <c r="AE10" s="16"/>
      <c r="AF10" s="16"/>
      <c r="AG10" s="16"/>
      <c r="AH10" s="16"/>
      <c r="AI10" s="16"/>
    </row>
    <row r="11" spans="1:35" x14ac:dyDescent="0.25">
      <c r="B11" t="s">
        <v>40</v>
      </c>
      <c r="C11" s="7">
        <v>2397</v>
      </c>
      <c r="D11" s="7">
        <v>1</v>
      </c>
      <c r="E11" s="18"/>
      <c r="F11" s="18"/>
      <c r="G11" s="18"/>
      <c r="H11" s="18"/>
      <c r="I11" s="18"/>
      <c r="J11" s="18"/>
      <c r="K11" s="17"/>
      <c r="L11" s="17"/>
      <c r="M11" s="16"/>
      <c r="N11" s="16"/>
      <c r="O11" s="16"/>
      <c r="P11" s="16"/>
      <c r="Q11" s="16"/>
      <c r="R11" s="16"/>
      <c r="S11" s="16"/>
      <c r="T11" s="16"/>
      <c r="U11" s="16"/>
      <c r="V11" s="16"/>
      <c r="W11" s="16"/>
      <c r="X11" s="16"/>
      <c r="Y11" s="16"/>
      <c r="Z11" s="16"/>
      <c r="AA11" s="16"/>
      <c r="AB11" s="16"/>
      <c r="AC11" s="16"/>
      <c r="AD11" s="16"/>
      <c r="AE11" s="16"/>
      <c r="AF11" s="16"/>
      <c r="AG11" s="16"/>
      <c r="AH11" s="16"/>
      <c r="AI11" s="16"/>
    </row>
    <row r="12" spans="1:35" x14ac:dyDescent="0.25">
      <c r="A12" t="s">
        <v>49</v>
      </c>
      <c r="C12" s="7">
        <v>36977</v>
      </c>
      <c r="D12" s="7">
        <v>12</v>
      </c>
      <c r="E12" s="17"/>
      <c r="F12" s="17"/>
      <c r="G12" s="17"/>
      <c r="H12" s="17"/>
      <c r="I12" s="17"/>
      <c r="J12" s="17"/>
      <c r="K12" s="17"/>
      <c r="L12" s="17"/>
      <c r="M12" s="16"/>
      <c r="N12" s="16"/>
      <c r="O12" s="16"/>
      <c r="P12" s="16"/>
      <c r="Q12" s="16"/>
      <c r="R12" s="16"/>
      <c r="S12" s="16"/>
      <c r="T12" s="16"/>
      <c r="U12" s="16"/>
      <c r="V12" s="16"/>
      <c r="W12" s="16"/>
      <c r="X12" s="16"/>
      <c r="Y12" s="16"/>
      <c r="Z12" s="16"/>
      <c r="AA12" s="16"/>
      <c r="AB12" s="16"/>
      <c r="AC12" s="16"/>
      <c r="AD12" s="16"/>
      <c r="AE12" s="16"/>
      <c r="AF12" s="16"/>
      <c r="AG12" s="16"/>
      <c r="AH12" s="16"/>
      <c r="AI12" s="16"/>
    </row>
    <row r="13" spans="1:35" x14ac:dyDescent="0.25">
      <c r="A13" s="14" t="s">
        <v>64</v>
      </c>
      <c r="B13" s="14"/>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row>
    <row r="14" spans="1:35" x14ac:dyDescent="0.25">
      <c r="A14" s="5" t="s">
        <v>48</v>
      </c>
      <c r="B14" t="s">
        <v>51</v>
      </c>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row>
    <row r="15" spans="1:35" x14ac:dyDescent="0.25">
      <c r="A15" s="6" t="s">
        <v>52</v>
      </c>
      <c r="B15" s="7">
        <v>13193</v>
      </c>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row>
    <row r="16" spans="1:35" x14ac:dyDescent="0.25">
      <c r="A16" s="6" t="s">
        <v>53</v>
      </c>
      <c r="B16" s="7">
        <v>15193</v>
      </c>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row>
    <row r="17" spans="1:35" x14ac:dyDescent="0.25">
      <c r="A17" s="6" t="s">
        <v>54</v>
      </c>
      <c r="B17" s="7">
        <v>8591</v>
      </c>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row>
    <row r="18" spans="1:35" x14ac:dyDescent="0.25">
      <c r="A18" s="6" t="s">
        <v>49</v>
      </c>
      <c r="B18" s="7">
        <v>36977</v>
      </c>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row>
    <row r="19" spans="1:35" x14ac:dyDescent="0.25">
      <c r="A19" s="14" t="s">
        <v>55</v>
      </c>
      <c r="B19" s="14"/>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row>
    <row r="20" spans="1:35" x14ac:dyDescent="0.25">
      <c r="A20" s="5" t="s">
        <v>48</v>
      </c>
      <c r="B20" t="s">
        <v>51</v>
      </c>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row>
    <row r="21" spans="1:35" x14ac:dyDescent="0.25">
      <c r="A21" s="6" t="s">
        <v>56</v>
      </c>
      <c r="B21" s="7">
        <v>1598</v>
      </c>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row>
    <row r="22" spans="1:35" x14ac:dyDescent="0.25">
      <c r="A22" s="6" t="s">
        <v>57</v>
      </c>
      <c r="B22" s="7">
        <v>2499</v>
      </c>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row>
    <row r="23" spans="1:35" x14ac:dyDescent="0.25">
      <c r="A23" s="6" t="s">
        <v>58</v>
      </c>
      <c r="B23" s="7">
        <v>8097</v>
      </c>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row>
    <row r="24" spans="1:35" x14ac:dyDescent="0.25">
      <c r="A24" s="6" t="s">
        <v>59</v>
      </c>
      <c r="B24" s="7">
        <v>10596</v>
      </c>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row>
    <row r="25" spans="1:35" x14ac:dyDescent="0.25">
      <c r="A25" s="6" t="s">
        <v>60</v>
      </c>
      <c r="B25" s="7">
        <v>6999</v>
      </c>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row>
    <row r="26" spans="1:35" x14ac:dyDescent="0.25">
      <c r="A26" s="6" t="s">
        <v>61</v>
      </c>
      <c r="B26" s="7">
        <v>1497</v>
      </c>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row>
    <row r="27" spans="1:35" x14ac:dyDescent="0.25">
      <c r="A27" s="6" t="s">
        <v>62</v>
      </c>
      <c r="B27" s="7">
        <v>5691</v>
      </c>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row>
    <row r="28" spans="1:35" x14ac:dyDescent="0.25">
      <c r="A28" s="6" t="s">
        <v>49</v>
      </c>
      <c r="B28" s="7">
        <v>36977</v>
      </c>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row>
    <row r="29" spans="1:35" x14ac:dyDescent="0.25">
      <c r="A29" s="14" t="s">
        <v>63</v>
      </c>
      <c r="B29" s="14"/>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row>
    <row r="30" spans="1:35" s="16" customFormat="1" x14ac:dyDescent="0.25"/>
    <row r="31" spans="1:35" x14ac:dyDescent="0.25">
      <c r="A31" s="5" t="s">
        <v>48</v>
      </c>
      <c r="B31" t="s">
        <v>51</v>
      </c>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row>
    <row r="32" spans="1:35" x14ac:dyDescent="0.25">
      <c r="A32" s="6" t="s">
        <v>31</v>
      </c>
      <c r="B32" s="7">
        <v>9996</v>
      </c>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row>
    <row r="33" spans="1:35" x14ac:dyDescent="0.25">
      <c r="A33" s="6" t="s">
        <v>32</v>
      </c>
      <c r="B33" s="7">
        <v>1800</v>
      </c>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row>
    <row r="34" spans="1:35" x14ac:dyDescent="0.25">
      <c r="A34" s="6" t="s">
        <v>34</v>
      </c>
      <c r="B34" s="7">
        <v>13998</v>
      </c>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row>
    <row r="35" spans="1:35" x14ac:dyDescent="0.25">
      <c r="A35" s="6" t="s">
        <v>36</v>
      </c>
      <c r="B35" s="7">
        <v>3992</v>
      </c>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row>
    <row r="36" spans="1:35" x14ac:dyDescent="0.25">
      <c r="A36" s="6" t="s">
        <v>29</v>
      </c>
      <c r="B36" s="7">
        <v>7191</v>
      </c>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row>
    <row r="37" spans="1:35" x14ac:dyDescent="0.25">
      <c r="A37" s="6" t="s">
        <v>49</v>
      </c>
      <c r="B37" s="7">
        <v>36977</v>
      </c>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row>
    <row r="38" spans="1:35" x14ac:dyDescent="0.25">
      <c r="A38" s="14" t="s">
        <v>66</v>
      </c>
      <c r="B38" s="14"/>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row>
    <row r="39" spans="1:35" x14ac:dyDescent="0.25">
      <c r="A39" s="5" t="s">
        <v>48</v>
      </c>
      <c r="B39" t="s">
        <v>51</v>
      </c>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row>
    <row r="40" spans="1:35" x14ac:dyDescent="0.25">
      <c r="A40" s="6" t="s">
        <v>39</v>
      </c>
      <c r="B40" s="7">
        <v>9093</v>
      </c>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row>
    <row r="41" spans="1:35" x14ac:dyDescent="0.25">
      <c r="A41" s="6" t="s">
        <v>40</v>
      </c>
      <c r="B41" s="7">
        <v>13392</v>
      </c>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row>
    <row r="42" spans="1:35" x14ac:dyDescent="0.25">
      <c r="A42" s="6" t="s">
        <v>41</v>
      </c>
      <c r="B42" s="7">
        <v>14492</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row>
    <row r="43" spans="1:35" x14ac:dyDescent="0.25">
      <c r="A43" s="6" t="s">
        <v>49</v>
      </c>
      <c r="B43" s="7">
        <v>36977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row>
    <row r="44" spans="1:35" x14ac:dyDescent="0.25">
      <c r="A44" s="15" t="s">
        <v>65</v>
      </c>
      <c r="B44" s="15"/>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row>
    <row r="45" spans="1:35" x14ac:dyDescent="0.25">
      <c r="A45" s="5" t="s">
        <v>48</v>
      </c>
      <c r="B45" t="s">
        <v>51</v>
      </c>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row>
    <row r="46" spans="1:35" x14ac:dyDescent="0.25">
      <c r="A46" s="6" t="s">
        <v>37</v>
      </c>
      <c r="B46" s="7">
        <v>3992</v>
      </c>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row>
    <row r="47" spans="1:35" x14ac:dyDescent="0.25">
      <c r="A47" s="6" t="s">
        <v>30</v>
      </c>
      <c r="B47" s="7">
        <v>17187</v>
      </c>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row>
    <row r="48" spans="1:35" x14ac:dyDescent="0.25">
      <c r="A48" s="6" t="s">
        <v>35</v>
      </c>
      <c r="B48" s="7">
        <v>13998</v>
      </c>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row>
    <row r="49" spans="1:35" x14ac:dyDescent="0.25">
      <c r="A49" s="6" t="s">
        <v>33</v>
      </c>
      <c r="B49" s="7">
        <v>1800</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row>
    <row r="50" spans="1:35" x14ac:dyDescent="0.25">
      <c r="A50" s="6" t="s">
        <v>49</v>
      </c>
      <c r="B50" s="7">
        <v>36977</v>
      </c>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row>
    <row r="51" spans="1:35"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row>
    <row r="52" spans="1:35"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row>
    <row r="53" spans="1:35"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row>
    <row r="54" spans="1:35"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row>
    <row r="55" spans="1:35"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row>
    <row r="56" spans="1:35"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row>
    <row r="57" spans="1:35"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row>
    <row r="58" spans="1:35"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row>
  </sheetData>
  <mergeCells count="5">
    <mergeCell ref="A19:B19"/>
    <mergeCell ref="A13:B13"/>
    <mergeCell ref="A29:B29"/>
    <mergeCell ref="A38:B38"/>
    <mergeCell ref="E8:J11"/>
  </mergeCells>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7B1FF-CCF9-4586-B709-49E76DE7FE70}">
  <dimension ref="A1:D57"/>
  <sheetViews>
    <sheetView topLeftCell="A43" workbookViewId="0">
      <selection activeCell="A51" sqref="A51:B57"/>
    </sheetView>
  </sheetViews>
  <sheetFormatPr defaultRowHeight="15" x14ac:dyDescent="0.25"/>
  <cols>
    <col min="1" max="1" width="13.140625" bestFit="1" customWidth="1"/>
    <col min="2" max="2" width="19.5703125" bestFit="1" customWidth="1"/>
    <col min="3" max="3" width="20.7109375" bestFit="1" customWidth="1"/>
  </cols>
  <sheetData>
    <row r="1" spans="1:2" x14ac:dyDescent="0.25">
      <c r="A1" s="9" t="s">
        <v>64</v>
      </c>
      <c r="B1" s="9"/>
    </row>
    <row r="2" spans="1:2" x14ac:dyDescent="0.25">
      <c r="A2" s="8"/>
      <c r="B2" s="8"/>
    </row>
    <row r="3" spans="1:2" x14ac:dyDescent="0.25">
      <c r="A3" s="5" t="s">
        <v>48</v>
      </c>
      <c r="B3" t="s">
        <v>51</v>
      </c>
    </row>
    <row r="4" spans="1:2" x14ac:dyDescent="0.25">
      <c r="A4" s="6" t="s">
        <v>52</v>
      </c>
      <c r="B4" s="7">
        <v>13193</v>
      </c>
    </row>
    <row r="5" spans="1:2" x14ac:dyDescent="0.25">
      <c r="A5" s="6" t="s">
        <v>53</v>
      </c>
      <c r="B5" s="7">
        <v>15193</v>
      </c>
    </row>
    <row r="6" spans="1:2" x14ac:dyDescent="0.25">
      <c r="A6" s="6" t="s">
        <v>54</v>
      </c>
      <c r="B6" s="7">
        <v>8591</v>
      </c>
    </row>
    <row r="7" spans="1:2" x14ac:dyDescent="0.25">
      <c r="A7" s="6" t="s">
        <v>49</v>
      </c>
      <c r="B7" s="7">
        <v>36977</v>
      </c>
    </row>
    <row r="18" spans="1:4" x14ac:dyDescent="0.25">
      <c r="A18" s="9" t="s">
        <v>55</v>
      </c>
      <c r="B18" s="9"/>
      <c r="C18" s="12"/>
      <c r="D18" s="12"/>
    </row>
    <row r="19" spans="1:4" x14ac:dyDescent="0.25">
      <c r="A19" s="5" t="s">
        <v>48</v>
      </c>
      <c r="B19" t="s">
        <v>51</v>
      </c>
    </row>
    <row r="20" spans="1:4" x14ac:dyDescent="0.25">
      <c r="A20" s="6" t="s">
        <v>56</v>
      </c>
      <c r="B20" s="7">
        <v>1598</v>
      </c>
    </row>
    <row r="21" spans="1:4" x14ac:dyDescent="0.25">
      <c r="A21" s="6" t="s">
        <v>57</v>
      </c>
      <c r="B21" s="7">
        <v>2499</v>
      </c>
    </row>
    <row r="22" spans="1:4" x14ac:dyDescent="0.25">
      <c r="A22" s="6" t="s">
        <v>58</v>
      </c>
      <c r="B22" s="7">
        <v>8097</v>
      </c>
    </row>
    <row r="23" spans="1:4" x14ac:dyDescent="0.25">
      <c r="A23" s="6" t="s">
        <v>59</v>
      </c>
      <c r="B23" s="7">
        <v>10596</v>
      </c>
    </row>
    <row r="24" spans="1:4" x14ac:dyDescent="0.25">
      <c r="A24" s="6" t="s">
        <v>60</v>
      </c>
      <c r="B24" s="7">
        <v>6999</v>
      </c>
    </row>
    <row r="25" spans="1:4" x14ac:dyDescent="0.25">
      <c r="A25" s="6" t="s">
        <v>61</v>
      </c>
      <c r="B25" s="7">
        <v>1497</v>
      </c>
    </row>
    <row r="26" spans="1:4" x14ac:dyDescent="0.25">
      <c r="A26" s="6" t="s">
        <v>62</v>
      </c>
      <c r="B26" s="7">
        <v>5691</v>
      </c>
    </row>
    <row r="27" spans="1:4" x14ac:dyDescent="0.25">
      <c r="A27" s="6" t="s">
        <v>49</v>
      </c>
      <c r="B27" s="7">
        <v>36977</v>
      </c>
    </row>
    <row r="31" spans="1:4" x14ac:dyDescent="0.25">
      <c r="A31" s="9" t="s">
        <v>63</v>
      </c>
      <c r="B31" s="9"/>
    </row>
    <row r="33" spans="1:3" x14ac:dyDescent="0.25">
      <c r="A33" s="5" t="s">
        <v>48</v>
      </c>
      <c r="B33" t="s">
        <v>51</v>
      </c>
    </row>
    <row r="34" spans="1:3" x14ac:dyDescent="0.25">
      <c r="A34" s="6" t="s">
        <v>31</v>
      </c>
      <c r="B34" s="7">
        <v>9996</v>
      </c>
    </row>
    <row r="35" spans="1:3" x14ac:dyDescent="0.25">
      <c r="A35" s="6" t="s">
        <v>32</v>
      </c>
      <c r="B35" s="7">
        <v>1800</v>
      </c>
    </row>
    <row r="36" spans="1:3" x14ac:dyDescent="0.25">
      <c r="A36" s="6" t="s">
        <v>34</v>
      </c>
      <c r="B36" s="7">
        <v>13998</v>
      </c>
    </row>
    <row r="37" spans="1:3" x14ac:dyDescent="0.25">
      <c r="A37" s="6" t="s">
        <v>36</v>
      </c>
      <c r="B37" s="7">
        <v>3992</v>
      </c>
    </row>
    <row r="38" spans="1:3" x14ac:dyDescent="0.25">
      <c r="A38" s="6" t="s">
        <v>29</v>
      </c>
      <c r="B38" s="7">
        <v>7191</v>
      </c>
    </row>
    <row r="39" spans="1:3" x14ac:dyDescent="0.25">
      <c r="A39" s="6" t="s">
        <v>49</v>
      </c>
      <c r="B39" s="7">
        <v>36977</v>
      </c>
    </row>
    <row r="42" spans="1:3" x14ac:dyDescent="0.25">
      <c r="A42" s="10" t="s">
        <v>65</v>
      </c>
      <c r="B42" s="10"/>
      <c r="C42" s="11"/>
    </row>
    <row r="43" spans="1:3" x14ac:dyDescent="0.25">
      <c r="A43" s="5" t="s">
        <v>48</v>
      </c>
      <c r="B43" t="s">
        <v>51</v>
      </c>
    </row>
    <row r="44" spans="1:3" x14ac:dyDescent="0.25">
      <c r="A44" s="6" t="s">
        <v>37</v>
      </c>
      <c r="B44" s="7">
        <v>3992</v>
      </c>
    </row>
    <row r="45" spans="1:3" x14ac:dyDescent="0.25">
      <c r="A45" s="6" t="s">
        <v>30</v>
      </c>
      <c r="B45" s="7">
        <v>17187</v>
      </c>
    </row>
    <row r="46" spans="1:3" x14ac:dyDescent="0.25">
      <c r="A46" s="6" t="s">
        <v>35</v>
      </c>
      <c r="B46" s="7">
        <v>13998</v>
      </c>
    </row>
    <row r="47" spans="1:3" x14ac:dyDescent="0.25">
      <c r="A47" s="6" t="s">
        <v>33</v>
      </c>
      <c r="B47" s="7">
        <v>1800</v>
      </c>
    </row>
    <row r="48" spans="1:3" x14ac:dyDescent="0.25">
      <c r="A48" s="6" t="s">
        <v>49</v>
      </c>
      <c r="B48" s="7">
        <v>36977</v>
      </c>
    </row>
    <row r="51" spans="1:2" x14ac:dyDescent="0.25">
      <c r="A51" s="9" t="s">
        <v>66</v>
      </c>
      <c r="B51" s="9"/>
    </row>
    <row r="53" spans="1:2" x14ac:dyDescent="0.25">
      <c r="A53" s="5" t="s">
        <v>48</v>
      </c>
      <c r="B53" t="s">
        <v>51</v>
      </c>
    </row>
    <row r="54" spans="1:2" x14ac:dyDescent="0.25">
      <c r="A54" s="6" t="s">
        <v>39</v>
      </c>
      <c r="B54" s="7">
        <v>9093</v>
      </c>
    </row>
    <row r="55" spans="1:2" x14ac:dyDescent="0.25">
      <c r="A55" s="6" t="s">
        <v>40</v>
      </c>
      <c r="B55" s="7">
        <v>13392</v>
      </c>
    </row>
    <row r="56" spans="1:2" x14ac:dyDescent="0.25">
      <c r="A56" s="6" t="s">
        <v>41</v>
      </c>
      <c r="B56" s="7">
        <v>14492</v>
      </c>
    </row>
    <row r="57" spans="1:2" x14ac:dyDescent="0.25">
      <c r="A57" s="6" t="s">
        <v>49</v>
      </c>
      <c r="B57" s="7">
        <v>36977</v>
      </c>
    </row>
  </sheetData>
  <mergeCells count="5">
    <mergeCell ref="A51:B51"/>
    <mergeCell ref="A1:B1"/>
    <mergeCell ref="A2:B2"/>
    <mergeCell ref="A31:B31"/>
    <mergeCell ref="A18:B18"/>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AE6A-5305-4DD6-9459-E335A8EB3DB1}">
  <dimension ref="A1:L13"/>
  <sheetViews>
    <sheetView workbookViewId="0">
      <selection sqref="A1:L13"/>
    </sheetView>
  </sheetViews>
  <sheetFormatPr defaultRowHeight="15" x14ac:dyDescent="0.25"/>
  <cols>
    <col min="1" max="1" width="10.140625" customWidth="1"/>
    <col min="2" max="2" width="21.7109375" customWidth="1"/>
    <col min="3" max="3" width="22.140625" customWidth="1"/>
    <col min="4" max="4" width="15.140625" customWidth="1"/>
    <col min="5" max="5" width="12" customWidth="1"/>
    <col min="6" max="7" width="19.42578125" customWidth="1"/>
    <col min="12" max="12" width="11" customWidth="1"/>
  </cols>
  <sheetData>
    <row r="1" spans="1:12" ht="30" x14ac:dyDescent="0.25">
      <c r="A1" s="2" t="s">
        <v>0</v>
      </c>
      <c r="B1" s="2" t="s">
        <v>1</v>
      </c>
      <c r="C1" s="2" t="s">
        <v>2</v>
      </c>
      <c r="D1" s="2" t="s">
        <v>3</v>
      </c>
      <c r="E1" s="2" t="s">
        <v>4</v>
      </c>
      <c r="F1" s="2" t="s">
        <v>5</v>
      </c>
      <c r="G1" s="2" t="s">
        <v>42</v>
      </c>
      <c r="H1" s="2" t="s">
        <v>43</v>
      </c>
      <c r="I1" s="2" t="s">
        <v>44</v>
      </c>
      <c r="J1" s="2" t="s">
        <v>45</v>
      </c>
      <c r="K1" s="2" t="s">
        <v>46</v>
      </c>
      <c r="L1" s="2" t="s">
        <v>47</v>
      </c>
    </row>
    <row r="2" spans="1:12" x14ac:dyDescent="0.25">
      <c r="A2" s="1" t="s">
        <v>6</v>
      </c>
      <c r="B2" s="4">
        <v>45662</v>
      </c>
      <c r="C2" s="1" t="s">
        <v>7</v>
      </c>
      <c r="D2" s="1" t="s">
        <v>8</v>
      </c>
      <c r="E2" s="1">
        <v>2</v>
      </c>
      <c r="F2" s="1">
        <v>1598</v>
      </c>
      <c r="G2" s="1" t="str">
        <f>TEXT(Table1[[#This Row],[OrderDate]],"mmm")</f>
        <v>Jan</v>
      </c>
      <c r="H2" s="1">
        <f>MONTH(Table1[[#This Row],[OrderDate]])</f>
        <v>1</v>
      </c>
      <c r="I2" s="1" t="str">
        <f>TEXT(Table1[[#This Row],[OrderDate]],"ddd")</f>
        <v>Sun</v>
      </c>
      <c r="J2" s="1">
        <f>WEEKDAY(Table1[[#This Row],[OrderDate]])</f>
        <v>1</v>
      </c>
      <c r="K2" s="1">
        <f>YEAR(Table1[[#This Row],[OrderDate]])</f>
        <v>2025</v>
      </c>
      <c r="L2" s="1">
        <f>ROUNDUP(MONTH(Table1[[#This Row],[OrderDate]])/3,0)</f>
        <v>1</v>
      </c>
    </row>
    <row r="3" spans="1:12" x14ac:dyDescent="0.25">
      <c r="A3" s="1" t="s">
        <v>9</v>
      </c>
      <c r="B3" s="4">
        <v>45663</v>
      </c>
      <c r="C3" s="1" t="s">
        <v>10</v>
      </c>
      <c r="D3" s="1" t="s">
        <v>11</v>
      </c>
      <c r="E3" s="1">
        <v>1</v>
      </c>
      <c r="F3" s="1">
        <v>2499</v>
      </c>
      <c r="G3" s="1" t="str">
        <f>TEXT(Table1[[#This Row],[OrderDate]],"mmm")</f>
        <v>Jan</v>
      </c>
      <c r="H3" s="1">
        <f>MONTH(Table1[[#This Row],[OrderDate]])</f>
        <v>1</v>
      </c>
      <c r="I3" s="1" t="str">
        <f>TEXT(Table1[[#This Row],[OrderDate]],"ddd")</f>
        <v>Mon</v>
      </c>
      <c r="J3" s="1">
        <f>WEEKDAY(Table1[[#This Row],[OrderDate]])</f>
        <v>2</v>
      </c>
      <c r="K3" s="1">
        <f>YEAR(Table1[[#This Row],[OrderDate]])</f>
        <v>2025</v>
      </c>
      <c r="L3" s="1">
        <f>ROUNDUP(MONTH(Table1[[#This Row],[OrderDate]])/3,0)</f>
        <v>1</v>
      </c>
    </row>
    <row r="4" spans="1:12" x14ac:dyDescent="0.25">
      <c r="A4" s="1" t="s">
        <v>12</v>
      </c>
      <c r="B4" s="4">
        <v>45664</v>
      </c>
      <c r="C4" s="1" t="s">
        <v>13</v>
      </c>
      <c r="D4" s="1" t="s">
        <v>8</v>
      </c>
      <c r="E4" s="1">
        <v>5</v>
      </c>
      <c r="F4" s="1">
        <v>600</v>
      </c>
      <c r="G4" s="1" t="str">
        <f>TEXT(Table1[[#This Row],[OrderDate]],"mmm")</f>
        <v>Jan</v>
      </c>
      <c r="H4" s="1">
        <f>MONTH(Table1[[#This Row],[OrderDate]])</f>
        <v>1</v>
      </c>
      <c r="I4" s="1" t="str">
        <f>TEXT(Table1[[#This Row],[OrderDate]],"ddd")</f>
        <v>Tue</v>
      </c>
      <c r="J4" s="1">
        <f>WEEKDAY(Table1[[#This Row],[OrderDate]])</f>
        <v>3</v>
      </c>
      <c r="K4" s="1">
        <f>YEAR(Table1[[#This Row],[OrderDate]])</f>
        <v>2025</v>
      </c>
      <c r="L4" s="1">
        <f>ROUNDUP(MONTH(Table1[[#This Row],[OrderDate]])/3,0)</f>
        <v>1</v>
      </c>
    </row>
    <row r="5" spans="1:12" x14ac:dyDescent="0.25">
      <c r="A5" s="1" t="s">
        <v>14</v>
      </c>
      <c r="B5" s="4">
        <v>45665</v>
      </c>
      <c r="C5" s="1" t="s">
        <v>15</v>
      </c>
      <c r="D5" s="1" t="s">
        <v>16</v>
      </c>
      <c r="E5" s="1">
        <v>1</v>
      </c>
      <c r="F5" s="1">
        <v>6999</v>
      </c>
      <c r="G5" s="1" t="str">
        <f>TEXT(Table1[[#This Row],[OrderDate]],"mmm")</f>
        <v>Jan</v>
      </c>
      <c r="H5" s="1">
        <f>MONTH(Table1[[#This Row],[OrderDate]])</f>
        <v>1</v>
      </c>
      <c r="I5" s="1" t="str">
        <f>TEXT(Table1[[#This Row],[OrderDate]],"ddd")</f>
        <v>Wed</v>
      </c>
      <c r="J5" s="1">
        <f>WEEKDAY(Table1[[#This Row],[OrderDate]])</f>
        <v>4</v>
      </c>
      <c r="K5" s="1">
        <f>YEAR(Table1[[#This Row],[OrderDate]])</f>
        <v>2025</v>
      </c>
      <c r="L5" s="1">
        <f>ROUNDUP(MONTH(Table1[[#This Row],[OrderDate]])/3,0)</f>
        <v>1</v>
      </c>
    </row>
    <row r="6" spans="1:12" x14ac:dyDescent="0.25">
      <c r="A6" s="1" t="s">
        <v>17</v>
      </c>
      <c r="B6" s="4">
        <v>45667</v>
      </c>
      <c r="C6" s="1" t="s">
        <v>18</v>
      </c>
      <c r="D6" s="1" t="s">
        <v>11</v>
      </c>
      <c r="E6" s="1">
        <v>3</v>
      </c>
      <c r="F6" s="1">
        <v>1497</v>
      </c>
      <c r="G6" s="1" t="str">
        <f>TEXT(Table1[[#This Row],[OrderDate]],"mmm")</f>
        <v>Jan</v>
      </c>
      <c r="H6" s="1">
        <f>MONTH(Table1[[#This Row],[OrderDate]])</f>
        <v>1</v>
      </c>
      <c r="I6" s="1" t="str">
        <f>TEXT(Table1[[#This Row],[OrderDate]],"ddd")</f>
        <v>Fri</v>
      </c>
      <c r="J6" s="1">
        <f>WEEKDAY(Table1[[#This Row],[OrderDate]])</f>
        <v>6</v>
      </c>
      <c r="K6" s="1">
        <f>YEAR(Table1[[#This Row],[OrderDate]])</f>
        <v>2025</v>
      </c>
      <c r="L6" s="1">
        <f>ROUNDUP(MONTH(Table1[[#This Row],[OrderDate]])/3,0)</f>
        <v>1</v>
      </c>
    </row>
    <row r="7" spans="1:12" x14ac:dyDescent="0.25">
      <c r="A7" s="1" t="s">
        <v>19</v>
      </c>
      <c r="B7" s="4">
        <v>45703</v>
      </c>
      <c r="C7" s="1" t="s">
        <v>7</v>
      </c>
      <c r="D7" s="1" t="s">
        <v>8</v>
      </c>
      <c r="E7" s="1">
        <v>4</v>
      </c>
      <c r="F7" s="1">
        <v>3196</v>
      </c>
      <c r="G7" s="1" t="str">
        <f>TEXT(Table1[[#This Row],[OrderDate]],"mmm")</f>
        <v>Feb</v>
      </c>
      <c r="H7" s="1">
        <f>MONTH(Table1[[#This Row],[OrderDate]])</f>
        <v>2</v>
      </c>
      <c r="I7" s="1" t="str">
        <f>TEXT(Table1[[#This Row],[OrderDate]],"ddd")</f>
        <v>Sat</v>
      </c>
      <c r="J7" s="1">
        <f>WEEKDAY(Table1[[#This Row],[OrderDate]])</f>
        <v>7</v>
      </c>
      <c r="K7" s="1">
        <f>YEAR(Table1[[#This Row],[OrderDate]])</f>
        <v>2025</v>
      </c>
      <c r="L7" s="1">
        <f>ROUNDUP(MONTH(Table1[[#This Row],[OrderDate]])/3,0)</f>
        <v>1</v>
      </c>
    </row>
    <row r="8" spans="1:12" x14ac:dyDescent="0.25">
      <c r="A8" s="1" t="s">
        <v>20</v>
      </c>
      <c r="B8" s="4">
        <v>45706</v>
      </c>
      <c r="C8" s="1" t="s">
        <v>10</v>
      </c>
      <c r="D8" s="1" t="s">
        <v>16</v>
      </c>
      <c r="E8" s="1">
        <v>2</v>
      </c>
      <c r="F8" s="1">
        <v>4998</v>
      </c>
      <c r="G8" s="1" t="str">
        <f>TEXT(Table1[[#This Row],[OrderDate]],"mmm")</f>
        <v>Feb</v>
      </c>
      <c r="H8" s="1">
        <f>MONTH(Table1[[#This Row],[OrderDate]])</f>
        <v>2</v>
      </c>
      <c r="I8" s="1" t="str">
        <f>TEXT(Table1[[#This Row],[OrderDate]],"ddd")</f>
        <v>Tue</v>
      </c>
      <c r="J8" s="1">
        <f>WEEKDAY(Table1[[#This Row],[OrderDate]])</f>
        <v>3</v>
      </c>
      <c r="K8" s="1">
        <f>YEAR(Table1[[#This Row],[OrderDate]])</f>
        <v>2025</v>
      </c>
      <c r="L8" s="1">
        <f>ROUNDUP(MONTH(Table1[[#This Row],[OrderDate]])/3,0)</f>
        <v>1</v>
      </c>
    </row>
    <row r="9" spans="1:12" x14ac:dyDescent="0.25">
      <c r="A9" s="1" t="s">
        <v>21</v>
      </c>
      <c r="B9" s="4">
        <v>45708</v>
      </c>
      <c r="C9" s="1" t="s">
        <v>15</v>
      </c>
      <c r="D9" s="1" t="s">
        <v>11</v>
      </c>
      <c r="E9" s="1">
        <v>1</v>
      </c>
      <c r="F9" s="1">
        <v>6999</v>
      </c>
      <c r="G9" s="1" t="str">
        <f>TEXT(Table1[[#This Row],[OrderDate]],"mmm")</f>
        <v>Feb</v>
      </c>
      <c r="H9" s="1">
        <f>MONTH(Table1[[#This Row],[OrderDate]])</f>
        <v>2</v>
      </c>
      <c r="I9" s="1" t="str">
        <f>TEXT(Table1[[#This Row],[OrderDate]],"ddd")</f>
        <v>Thu</v>
      </c>
      <c r="J9" s="1">
        <f>WEEKDAY(Table1[[#This Row],[OrderDate]])</f>
        <v>5</v>
      </c>
      <c r="K9" s="1">
        <f>YEAR(Table1[[#This Row],[OrderDate]])</f>
        <v>2025</v>
      </c>
      <c r="L9" s="1">
        <f>ROUNDUP(MONTH(Table1[[#This Row],[OrderDate]])/3,0)</f>
        <v>1</v>
      </c>
    </row>
    <row r="10" spans="1:12" x14ac:dyDescent="0.25">
      <c r="A10" s="1" t="s">
        <v>22</v>
      </c>
      <c r="B10" s="4">
        <v>45721</v>
      </c>
      <c r="C10" s="1" t="s">
        <v>13</v>
      </c>
      <c r="D10" s="1" t="s">
        <v>8</v>
      </c>
      <c r="E10" s="1">
        <v>10</v>
      </c>
      <c r="F10" s="1">
        <v>1200</v>
      </c>
      <c r="G10" s="1" t="str">
        <f>TEXT(Table1[[#This Row],[OrderDate]],"mmm")</f>
        <v>Mar</v>
      </c>
      <c r="H10" s="1">
        <f>MONTH(Table1[[#This Row],[OrderDate]])</f>
        <v>3</v>
      </c>
      <c r="I10" s="1" t="str">
        <f>TEXT(Table1[[#This Row],[OrderDate]],"ddd")</f>
        <v>Wed</v>
      </c>
      <c r="J10" s="1">
        <f>WEEKDAY(Table1[[#This Row],[OrderDate]])</f>
        <v>4</v>
      </c>
      <c r="K10" s="1">
        <f>YEAR(Table1[[#This Row],[OrderDate]])</f>
        <v>2025</v>
      </c>
      <c r="L10" s="1">
        <f>ROUNDUP(MONTH(Table1[[#This Row],[OrderDate]])/3,0)</f>
        <v>1</v>
      </c>
    </row>
    <row r="11" spans="1:12" x14ac:dyDescent="0.25">
      <c r="A11" s="1" t="s">
        <v>23</v>
      </c>
      <c r="B11" s="4">
        <v>45724</v>
      </c>
      <c r="C11" s="1" t="s">
        <v>18</v>
      </c>
      <c r="D11" s="1" t="s">
        <v>16</v>
      </c>
      <c r="E11" s="1">
        <v>5</v>
      </c>
      <c r="F11" s="1">
        <v>2495</v>
      </c>
      <c r="G11" s="1" t="str">
        <f>TEXT(Table1[[#This Row],[OrderDate]],"mmm")</f>
        <v>Mar</v>
      </c>
      <c r="H11" s="1">
        <f>MONTH(Table1[[#This Row],[OrderDate]])</f>
        <v>3</v>
      </c>
      <c r="I11" s="1" t="str">
        <f>TEXT(Table1[[#This Row],[OrderDate]],"ddd")</f>
        <v>Sat</v>
      </c>
      <c r="J11" s="1">
        <f>WEEKDAY(Table1[[#This Row],[OrderDate]])</f>
        <v>7</v>
      </c>
      <c r="K11" s="1">
        <f>YEAR(Table1[[#This Row],[OrderDate]])</f>
        <v>2025</v>
      </c>
      <c r="L11" s="1">
        <f>ROUNDUP(MONTH(Table1[[#This Row],[OrderDate]])/3,0)</f>
        <v>1</v>
      </c>
    </row>
    <row r="12" spans="1:12" x14ac:dyDescent="0.25">
      <c r="A12" s="1" t="s">
        <v>24</v>
      </c>
      <c r="B12" s="4">
        <v>45728</v>
      </c>
      <c r="C12" s="1" t="s">
        <v>7</v>
      </c>
      <c r="D12" s="1" t="s">
        <v>11</v>
      </c>
      <c r="E12" s="1">
        <v>3</v>
      </c>
      <c r="F12" s="1">
        <v>2397</v>
      </c>
      <c r="G12" s="1" t="str">
        <f>TEXT(Table1[[#This Row],[OrderDate]],"mmm")</f>
        <v>Mar</v>
      </c>
      <c r="H12" s="1">
        <f>MONTH(Table1[[#This Row],[OrderDate]])</f>
        <v>3</v>
      </c>
      <c r="I12" s="1" t="str">
        <f>TEXT(Table1[[#This Row],[OrderDate]],"ddd")</f>
        <v>Wed</v>
      </c>
      <c r="J12" s="1">
        <f>WEEKDAY(Table1[[#This Row],[OrderDate]])</f>
        <v>4</v>
      </c>
      <c r="K12" s="1">
        <f>YEAR(Table1[[#This Row],[OrderDate]])</f>
        <v>2025</v>
      </c>
      <c r="L12" s="1">
        <f>ROUNDUP(MONTH(Table1[[#This Row],[OrderDate]])/3,0)</f>
        <v>1</v>
      </c>
    </row>
    <row r="13" spans="1:12" x14ac:dyDescent="0.25">
      <c r="A13" s="1" t="s">
        <v>25</v>
      </c>
      <c r="B13" s="4">
        <v>45734</v>
      </c>
      <c r="C13" s="1" t="s">
        <v>10</v>
      </c>
      <c r="D13" s="1" t="s">
        <v>8</v>
      </c>
      <c r="E13" s="1">
        <v>1</v>
      </c>
      <c r="F13" s="1">
        <v>2499</v>
      </c>
      <c r="G13" s="1" t="str">
        <f>TEXT(Table1[[#This Row],[OrderDate]],"mmm")</f>
        <v>Mar</v>
      </c>
      <c r="H13" s="1">
        <f>MONTH(Table1[[#This Row],[OrderDate]])</f>
        <v>3</v>
      </c>
      <c r="I13" s="1" t="str">
        <f>TEXT(Table1[[#This Row],[OrderDate]],"ddd")</f>
        <v>Tue</v>
      </c>
      <c r="J13" s="1">
        <f>WEEKDAY(Table1[[#This Row],[OrderDate]])</f>
        <v>3</v>
      </c>
      <c r="K13" s="1">
        <f>YEAR(Table1[[#This Row],[OrderDate]])</f>
        <v>2025</v>
      </c>
      <c r="L13" s="1">
        <f>ROUNDUP(MONTH(Table1[[#This Row],[OrderDate]])/3,0)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8280-0572-4578-84F2-010FD3B0149F}">
  <dimension ref="A1:D6"/>
  <sheetViews>
    <sheetView workbookViewId="0">
      <selection sqref="A1:D6"/>
    </sheetView>
  </sheetViews>
  <sheetFormatPr defaultRowHeight="15" x14ac:dyDescent="0.25"/>
  <cols>
    <col min="1" max="1" width="11.85546875" customWidth="1"/>
    <col min="2" max="2" width="15.28515625" customWidth="1"/>
    <col min="3" max="3" width="11" customWidth="1"/>
  </cols>
  <sheetData>
    <row r="1" spans="1:4" ht="30" x14ac:dyDescent="0.25">
      <c r="A1" s="2" t="s">
        <v>2</v>
      </c>
      <c r="B1" s="2" t="s">
        <v>26</v>
      </c>
      <c r="C1" s="2" t="s">
        <v>27</v>
      </c>
      <c r="D1" s="2" t="s">
        <v>28</v>
      </c>
    </row>
    <row r="2" spans="1:4" ht="30" x14ac:dyDescent="0.25">
      <c r="A2" s="3" t="s">
        <v>7</v>
      </c>
      <c r="B2" s="3" t="s">
        <v>29</v>
      </c>
      <c r="C2" s="3" t="s">
        <v>30</v>
      </c>
      <c r="D2" s="3">
        <v>799</v>
      </c>
    </row>
    <row r="3" spans="1:4" ht="45" x14ac:dyDescent="0.25">
      <c r="A3" s="3" t="s">
        <v>10</v>
      </c>
      <c r="B3" s="3" t="s">
        <v>31</v>
      </c>
      <c r="C3" s="3" t="s">
        <v>30</v>
      </c>
      <c r="D3" s="3">
        <v>2499</v>
      </c>
    </row>
    <row r="4" spans="1:4" ht="30" x14ac:dyDescent="0.25">
      <c r="A4" s="3" t="s">
        <v>13</v>
      </c>
      <c r="B4" s="3" t="s">
        <v>32</v>
      </c>
      <c r="C4" s="3" t="s">
        <v>33</v>
      </c>
      <c r="D4" s="3">
        <v>120</v>
      </c>
    </row>
    <row r="5" spans="1:4" ht="30" x14ac:dyDescent="0.25">
      <c r="A5" s="3" t="s">
        <v>15</v>
      </c>
      <c r="B5" s="3" t="s">
        <v>34</v>
      </c>
      <c r="C5" s="3" t="s">
        <v>35</v>
      </c>
      <c r="D5" s="3">
        <v>6999</v>
      </c>
    </row>
    <row r="6" spans="1:4" ht="30" x14ac:dyDescent="0.25">
      <c r="A6" s="3" t="s">
        <v>18</v>
      </c>
      <c r="B6" s="3" t="s">
        <v>36</v>
      </c>
      <c r="C6" s="3" t="s">
        <v>37</v>
      </c>
      <c r="D6" s="3">
        <v>499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5D0EE-742A-48B8-B377-4E87CBFB6584}">
  <dimension ref="A1:B4"/>
  <sheetViews>
    <sheetView workbookViewId="0">
      <selection activeCell="F11" sqref="F11"/>
    </sheetView>
  </sheetViews>
  <sheetFormatPr defaultRowHeight="15" x14ac:dyDescent="0.25"/>
  <cols>
    <col min="1" max="1" width="11.140625" customWidth="1"/>
    <col min="2" max="2" width="14.5703125" customWidth="1"/>
  </cols>
  <sheetData>
    <row r="1" spans="1:2" ht="30" x14ac:dyDescent="0.25">
      <c r="A1" s="2" t="s">
        <v>3</v>
      </c>
      <c r="B1" s="2" t="s">
        <v>38</v>
      </c>
    </row>
    <row r="2" spans="1:2" x14ac:dyDescent="0.25">
      <c r="A2" s="3" t="s">
        <v>8</v>
      </c>
      <c r="B2" s="3" t="s">
        <v>39</v>
      </c>
    </row>
    <row r="3" spans="1:2" x14ac:dyDescent="0.25">
      <c r="A3" s="3" t="s">
        <v>11</v>
      </c>
      <c r="B3" s="3" t="s">
        <v>40</v>
      </c>
    </row>
    <row r="4" spans="1:2" x14ac:dyDescent="0.25">
      <c r="A4" s="3" t="s">
        <v>16</v>
      </c>
      <c r="B4" s="3" t="s">
        <v>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20719C-B828-4D04-B4FC-E0C01AD612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Data_Model</vt:lpstr>
      <vt:lpstr>DASHBOARD</vt:lpstr>
      <vt:lpstr>Pivot charts</vt:lpstr>
      <vt:lpstr>Sales_Table</vt:lpstr>
      <vt:lpstr>Product_Table</vt:lpstr>
      <vt:lpstr>REgions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2026-02-08T15:03:10Z</dcterms:created>
  <dcterms:modified xsi:type="dcterms:W3CDTF">2026-02-08T19:08:24Z</dcterms:modified>
</cp:coreProperties>
</file>