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ha\Desktop\"/>
    </mc:Choice>
  </mc:AlternateContent>
  <xr:revisionPtr revIDLastSave="0" documentId="13_ncr:1_{F03D652F-6D99-47A3-9282-1FD317616D57}" xr6:coauthVersionLast="47" xr6:coauthVersionMax="47" xr10:uidLastSave="{00000000-0000-0000-0000-000000000000}"/>
  <bookViews>
    <workbookView xWindow="-120" yWindow="-120" windowWidth="20730" windowHeight="11040" xr2:uid="{699FE02A-F05A-4980-BB27-1734A8898DF5}"/>
  </bookViews>
  <sheets>
    <sheet name="Raw_Data" sheetId="2" r:id="rId1"/>
    <sheet name="Cleaned_Data" sheetId="1" r:id="rId2"/>
  </sheets>
  <definedNames>
    <definedName name="_xlnm._FilterDatabase" localSheetId="1" hidden="1">Cleaned_Data!$A$1:$O$13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L2" i="1"/>
  <c r="M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O3" i="1"/>
  <c r="O4" i="1"/>
  <c r="O5" i="1"/>
  <c r="O6" i="1"/>
  <c r="O7" i="1"/>
  <c r="O8" i="1"/>
  <c r="O9" i="1"/>
  <c r="O10" i="1"/>
  <c r="O11" i="1"/>
  <c r="O12" i="1"/>
  <c r="O2" i="1"/>
  <c r="H3" i="1"/>
  <c r="H4" i="1"/>
  <c r="H5" i="1"/>
  <c r="H6" i="1"/>
  <c r="H7" i="1"/>
  <c r="H8" i="1"/>
  <c r="H9" i="1"/>
  <c r="H10" i="1"/>
  <c r="H11" i="1"/>
  <c r="H12" i="1"/>
  <c r="H2" i="1"/>
  <c r="N6" i="1" l="1"/>
  <c r="N2" i="1"/>
  <c r="N12" i="1"/>
  <c r="N8" i="1"/>
  <c r="N4" i="1"/>
  <c r="N9" i="1"/>
  <c r="N5" i="1"/>
  <c r="N7" i="1"/>
  <c r="N3" i="1"/>
  <c r="N10" i="1"/>
  <c r="N11" i="1"/>
</calcChain>
</file>

<file path=xl/sharedStrings.xml><?xml version="1.0" encoding="utf-8"?>
<sst xmlns="http://schemas.openxmlformats.org/spreadsheetml/2006/main" count="216" uniqueCount="90">
  <si>
    <t>Transaction_ID</t>
  </si>
  <si>
    <t>Date</t>
  </si>
  <si>
    <t>Product_Name</t>
  </si>
  <si>
    <t>Region_Product_Code</t>
  </si>
  <si>
    <t>Sales_Amount</t>
  </si>
  <si>
    <t>Quantity</t>
  </si>
  <si>
    <t>Sales_Rep</t>
  </si>
  <si>
    <t>T001</t>
  </si>
  <si>
    <t>iphone</t>
  </si>
  <si>
    <t>UAE_iPhone_P001</t>
  </si>
  <si>
    <t>$1,200</t>
  </si>
  <si>
    <t>Ahmed</t>
  </si>
  <si>
    <t>T002</t>
  </si>
  <si>
    <t>I Phone</t>
  </si>
  <si>
    <t>T003</t>
  </si>
  <si>
    <t>Iphone</t>
  </si>
  <si>
    <t>USD 1200</t>
  </si>
  <si>
    <t>Two</t>
  </si>
  <si>
    <t>T004</t>
  </si>
  <si>
    <t>Samsungs23</t>
  </si>
  <si>
    <t>KSA_SamsungS23_P002</t>
  </si>
  <si>
    <t>$950</t>
  </si>
  <si>
    <t>Fatima</t>
  </si>
  <si>
    <t>T005</t>
  </si>
  <si>
    <t>Samsung S 23</t>
  </si>
  <si>
    <t>950$</t>
  </si>
  <si>
    <t>T006</t>
  </si>
  <si>
    <t>samsung s23</t>
  </si>
  <si>
    <t>One</t>
  </si>
  <si>
    <t>T007</t>
  </si>
  <si>
    <t>Macbook Pro</t>
  </si>
  <si>
    <t>UAE_MacBookPro_P003</t>
  </si>
  <si>
    <t>$2,000</t>
  </si>
  <si>
    <t>John</t>
  </si>
  <si>
    <t>T008</t>
  </si>
  <si>
    <t>Mac Bookpro</t>
  </si>
  <si>
    <t>USD 2000</t>
  </si>
  <si>
    <t>T009</t>
  </si>
  <si>
    <t>Ipad</t>
  </si>
  <si>
    <t>UAE_iPad_P004</t>
  </si>
  <si>
    <t>$600</t>
  </si>
  <si>
    <t>Sara</t>
  </si>
  <si>
    <t>T010</t>
  </si>
  <si>
    <t>i pad</t>
  </si>
  <si>
    <t>Six Hundred</t>
  </si>
  <si>
    <t>T011</t>
  </si>
  <si>
    <t>Clean_Product_Name</t>
  </si>
  <si>
    <t>Function</t>
  </si>
  <si>
    <t>Purpose</t>
  </si>
  <si>
    <t>CLEAN</t>
  </si>
  <si>
    <t>Removes hidden characters</t>
  </si>
  <si>
    <t>TRIM</t>
  </si>
  <si>
    <t>Removes extra spaces</t>
  </si>
  <si>
    <t>SUBSTITUTE</t>
  </si>
  <si>
    <t>Removes internal spaces</t>
  </si>
  <si>
    <t>PROPER</t>
  </si>
  <si>
    <t>Standard casing</t>
  </si>
  <si>
    <t>Region</t>
  </si>
  <si>
    <t>Product</t>
  </si>
  <si>
    <t>Code</t>
  </si>
  <si>
    <t>UAE</t>
  </si>
  <si>
    <t>iPhone</t>
  </si>
  <si>
    <t>P001</t>
  </si>
  <si>
    <t>P002</t>
  </si>
  <si>
    <t>P003</t>
  </si>
  <si>
    <t>P004</t>
  </si>
  <si>
    <t>KSA</t>
  </si>
  <si>
    <t>SamsungS23</t>
  </si>
  <si>
    <t>MacBookPro</t>
  </si>
  <si>
    <t>iPad</t>
  </si>
  <si>
    <t>Clean_Sales_Amount</t>
  </si>
  <si>
    <t>Clean_Quantity</t>
  </si>
  <si>
    <t>Valid_Record</t>
  </si>
  <si>
    <t>Duplicate_Check</t>
  </si>
  <si>
    <t>Valid</t>
  </si>
  <si>
    <t>Macbookpro</t>
  </si>
  <si>
    <t>Mean and standard deviation were calculated on filtered valid records using AVERAGE() and STDEV.S().</t>
  </si>
  <si>
    <t>MEAN = 1262.5</t>
  </si>
  <si>
    <t>STANDARD DEVIATION = 497.67</t>
  </si>
  <si>
    <t>Text to Columns with _ delimiter</t>
  </si>
  <si>
    <t>Checked for missing or invalid values.</t>
  </si>
  <si>
    <r>
      <t xml:space="preserve">Identified duplicates using </t>
    </r>
    <r>
      <rPr>
        <b/>
        <sz val="11"/>
        <color theme="1"/>
        <rFont val="Calibri"/>
        <family val="2"/>
        <scheme val="minor"/>
      </rPr>
      <t>COUNTIFS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</si>
  <si>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Marked records as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</t>
    </r>
  </si>
  <si>
    <t>Average and SD</t>
  </si>
  <si>
    <t>1. Clean and Standardize Text Data</t>
  </si>
  <si>
    <t>2.Split Region_Product_Code into Region , Product and Code.</t>
  </si>
  <si>
    <t>3.Validate the Data</t>
  </si>
  <si>
    <t>4.Analyse Data</t>
  </si>
  <si>
    <t>Explain how you would prevent future data issues and ensure the results remain accurate when new data is added.</t>
  </si>
  <si>
    <r>
      <t xml:space="preserve">By using </t>
    </r>
    <r>
      <rPr>
        <b/>
        <sz val="11"/>
        <color theme="1"/>
        <rFont val="Calibri"/>
        <family val="2"/>
        <scheme val="minor"/>
      </rPr>
      <t>data validation, automation, Excel Tables, and validation checks</t>
    </r>
    <r>
      <rPr>
        <sz val="11"/>
        <color theme="1"/>
        <rFont val="Calibri"/>
        <family val="2"/>
        <scheme val="minor"/>
      </rPr>
      <t>, I can prevent future data issues and ensure that all results remain accurate even when new data is added.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</si>
</sst>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0" xfId="0" applyFont="1"/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6" xfId="0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vertical="center" wrapText="1"/>
    </xf>
    <xf numFmtId="0" fontId="0" fillId="2" borderId="5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1752600</xdr:colOff>
      <xdr:row>1</xdr:row>
      <xdr:rowOff>9525</xdr:rowOff>
    </xdr:from>
    <xdr:to>
      <xdr:col>6</xdr:col>
      <xdr:colOff>105694</xdr:colOff>
      <xdr:row>24</xdr:row>
      <xdr:rowOff>67295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8B3287-5B72-09D2-EFCE-8F4A0F2E3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90850" y="200025"/>
          <a:ext cx="6582694" cy="4439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568A-84F0-4A64-AD42-A0B2E5E4938F}">
  <dimension ref="C29:H37"/>
  <sheetViews>
    <sheetView tabSelected="1" topLeftCell="A22" workbookViewId="0">
      <selection activeCell="B39" sqref="B39"/>
    </sheetView>
  </sheetViews>
  <sheetFormatPr defaultRowHeight="15" x14ac:dyDescent="0.25"/>
  <cols>
    <col min="1" max="1" width="18.5703125" customWidth="1"/>
    <col min="2" max="2" width="30.140625" customWidth="1"/>
    <col min="3" max="3" width="24.85546875" customWidth="1"/>
    <col min="4" max="4" width="21.140625" customWidth="1"/>
    <col min="5" max="5" width="26.5703125" customWidth="1"/>
    <col min="6" max="6" width="20.7109375" customWidth="1"/>
    <col min="8" max="8" width="15.42578125" customWidth="1"/>
  </cols>
  <sheetData>
    <row r="29" spans="3:8" x14ac:dyDescent="0.25">
      <c r="C29" s="5" t="s">
        <v>0</v>
      </c>
      <c r="D29" s="5" t="s">
        <v>1</v>
      </c>
      <c r="E29" s="5" t="s">
        <v>2</v>
      </c>
      <c r="F29" s="5" t="s">
        <v>4</v>
      </c>
      <c r="G29" s="5" t="s">
        <v>5</v>
      </c>
      <c r="H29" s="5" t="s">
        <v>6</v>
      </c>
    </row>
    <row r="30" spans="3:8" x14ac:dyDescent="0.25">
      <c r="C30" s="3" t="s">
        <v>7</v>
      </c>
      <c r="D30" s="4">
        <v>45658</v>
      </c>
      <c r="E30" s="3" t="s">
        <v>8</v>
      </c>
      <c r="F30" s="3" t="s">
        <v>10</v>
      </c>
      <c r="G30" s="3">
        <v>2</v>
      </c>
      <c r="H30" s="3" t="s">
        <v>11</v>
      </c>
    </row>
    <row r="31" spans="3:8" x14ac:dyDescent="0.25">
      <c r="C31" s="3" t="s">
        <v>12</v>
      </c>
      <c r="D31" s="4">
        <v>45658</v>
      </c>
      <c r="E31" s="3" t="s">
        <v>13</v>
      </c>
      <c r="F31" s="3" t="s">
        <v>10</v>
      </c>
      <c r="G31" s="3">
        <v>2</v>
      </c>
      <c r="H31" s="3" t="s">
        <v>11</v>
      </c>
    </row>
    <row r="32" spans="3:8" x14ac:dyDescent="0.25">
      <c r="C32" s="3" t="s">
        <v>18</v>
      </c>
      <c r="D32" s="4">
        <v>45659</v>
      </c>
      <c r="E32" s="3" t="s">
        <v>19</v>
      </c>
      <c r="F32" s="3" t="s">
        <v>21</v>
      </c>
      <c r="G32" s="3">
        <v>1</v>
      </c>
      <c r="H32" s="3" t="s">
        <v>22</v>
      </c>
    </row>
    <row r="33" spans="3:8" x14ac:dyDescent="0.25">
      <c r="C33" s="3" t="s">
        <v>23</v>
      </c>
      <c r="D33" s="4">
        <v>45660</v>
      </c>
      <c r="E33" s="3" t="s">
        <v>24</v>
      </c>
      <c r="F33" s="3" t="s">
        <v>25</v>
      </c>
      <c r="G33" s="3">
        <v>1</v>
      </c>
      <c r="H33" s="3" t="s">
        <v>22</v>
      </c>
    </row>
    <row r="34" spans="3:8" x14ac:dyDescent="0.25">
      <c r="C34" s="3" t="s">
        <v>29</v>
      </c>
      <c r="D34" s="4">
        <v>45661</v>
      </c>
      <c r="E34" s="3" t="s">
        <v>30</v>
      </c>
      <c r="F34" s="3" t="s">
        <v>32</v>
      </c>
      <c r="G34" s="3">
        <v>1</v>
      </c>
      <c r="H34" s="3" t="s">
        <v>33</v>
      </c>
    </row>
    <row r="35" spans="3:8" x14ac:dyDescent="0.25">
      <c r="C35" s="3" t="s">
        <v>34</v>
      </c>
      <c r="D35" s="4">
        <v>45661</v>
      </c>
      <c r="E35" s="3" t="s">
        <v>35</v>
      </c>
      <c r="F35" s="3" t="s">
        <v>36</v>
      </c>
      <c r="G35" s="3">
        <v>1</v>
      </c>
      <c r="H35" s="3" t="s">
        <v>33</v>
      </c>
    </row>
    <row r="36" spans="3:8" x14ac:dyDescent="0.25">
      <c r="C36" s="3" t="s">
        <v>37</v>
      </c>
      <c r="D36" s="4">
        <v>45662</v>
      </c>
      <c r="E36" s="3" t="s">
        <v>38</v>
      </c>
      <c r="F36" s="3" t="s">
        <v>40</v>
      </c>
      <c r="G36" s="3">
        <v>3</v>
      </c>
      <c r="H36" s="3" t="s">
        <v>41</v>
      </c>
    </row>
    <row r="37" spans="3:8" x14ac:dyDescent="0.25">
      <c r="C37" s="3" t="s">
        <v>45</v>
      </c>
      <c r="D37" s="4">
        <v>45663</v>
      </c>
      <c r="E37" s="3" t="s">
        <v>8</v>
      </c>
      <c r="F37" s="3" t="s">
        <v>10</v>
      </c>
      <c r="G37" s="3">
        <v>2</v>
      </c>
      <c r="H37" s="3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5E05-5E8F-44C2-BAF1-F7F37F9EA0DC}">
  <sheetPr filterMode="1"/>
  <dimension ref="A1:O43"/>
  <sheetViews>
    <sheetView workbookViewId="0">
      <selection sqref="A1:G12"/>
    </sheetView>
  </sheetViews>
  <sheetFormatPr defaultRowHeight="15" x14ac:dyDescent="0.25"/>
  <cols>
    <col min="1" max="1" width="38.140625" customWidth="1"/>
    <col min="2" max="2" width="40.5703125" customWidth="1"/>
    <col min="3" max="3" width="30.7109375" customWidth="1"/>
    <col min="4" max="4" width="9.28515625" hidden="1" customWidth="1"/>
    <col min="5" max="5" width="20.28515625" customWidth="1"/>
    <col min="6" max="6" width="18" customWidth="1"/>
    <col min="7" max="7" width="12.85546875" customWidth="1"/>
    <col min="8" max="8" width="15.7109375" customWidth="1"/>
    <col min="9" max="9" width="9" customWidth="1"/>
    <col min="10" max="10" width="16.42578125" customWidth="1"/>
    <col min="11" max="11" width="20.140625" customWidth="1"/>
    <col min="12" max="12" width="24.140625" customWidth="1"/>
    <col min="13" max="13" width="20" customWidth="1"/>
    <col min="14" max="14" width="18.7109375" customWidth="1"/>
    <col min="15" max="15" width="20.5703125" customWidth="1"/>
  </cols>
  <sheetData>
    <row r="1" spans="1:15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46</v>
      </c>
      <c r="I1" s="5" t="s">
        <v>57</v>
      </c>
      <c r="J1" s="5" t="s">
        <v>58</v>
      </c>
      <c r="K1" s="5" t="s">
        <v>59</v>
      </c>
      <c r="L1" s="5" t="s">
        <v>70</v>
      </c>
      <c r="M1" s="5" t="s">
        <v>71</v>
      </c>
      <c r="N1" s="5" t="s">
        <v>72</v>
      </c>
      <c r="O1" s="5" t="s">
        <v>73</v>
      </c>
    </row>
    <row r="2" spans="1:15" x14ac:dyDescent="0.25">
      <c r="A2" s="3" t="s">
        <v>7</v>
      </c>
      <c r="B2" s="4">
        <v>45658</v>
      </c>
      <c r="C2" s="3" t="s">
        <v>8</v>
      </c>
      <c r="D2" s="3" t="s">
        <v>9</v>
      </c>
      <c r="E2" s="3" t="s">
        <v>10</v>
      </c>
      <c r="F2" s="3">
        <v>2</v>
      </c>
      <c r="G2" s="3" t="s">
        <v>11</v>
      </c>
      <c r="H2" s="3" t="str">
        <f t="shared" ref="H2:H12" si="0">PROPER(TRIM(CLEAN(SUBSTITUTE(C2," ",""))))</f>
        <v>Iphone</v>
      </c>
      <c r="I2" s="3" t="s">
        <v>60</v>
      </c>
      <c r="J2" s="3" t="s">
        <v>61</v>
      </c>
      <c r="K2" s="3" t="s">
        <v>62</v>
      </c>
      <c r="L2" s="3">
        <f t="shared" ref="L2:L12" si="1">IFERROR(VALUE(SUBSTITUTE(SUBSTITUTE(SUBSTITUTE(E2,"$",""),"USD",""),",","")),"")</f>
        <v>1200</v>
      </c>
      <c r="M2" s="3">
        <f t="shared" ref="M2:M12" si="2">IFERROR(VALUE(F2),"")</f>
        <v>2</v>
      </c>
      <c r="N2" s="3" t="str">
        <f t="shared" ref="N2:N12" si="3">IF(AND(L2&lt;&gt;"",M2&lt;&gt;""),"Valid","Invalid")</f>
        <v>Valid</v>
      </c>
      <c r="O2" s="3">
        <f t="shared" ref="O2:O12" si="4">COUNTIF(A:A,A2)</f>
        <v>1</v>
      </c>
    </row>
    <row r="3" spans="1:15" x14ac:dyDescent="0.25">
      <c r="A3" s="3" t="s">
        <v>12</v>
      </c>
      <c r="B3" s="4">
        <v>45658</v>
      </c>
      <c r="C3" s="3" t="s">
        <v>13</v>
      </c>
      <c r="D3" s="3" t="s">
        <v>9</v>
      </c>
      <c r="E3" s="3" t="s">
        <v>10</v>
      </c>
      <c r="F3" s="3">
        <v>2</v>
      </c>
      <c r="G3" s="3" t="s">
        <v>11</v>
      </c>
      <c r="H3" s="3" t="str">
        <f t="shared" si="0"/>
        <v>Iphone</v>
      </c>
      <c r="I3" s="3" t="s">
        <v>60</v>
      </c>
      <c r="J3" s="3" t="s">
        <v>61</v>
      </c>
      <c r="K3" s="3" t="s">
        <v>62</v>
      </c>
      <c r="L3" s="3">
        <f t="shared" si="1"/>
        <v>1200</v>
      </c>
      <c r="M3" s="3">
        <f t="shared" si="2"/>
        <v>2</v>
      </c>
      <c r="N3" s="3" t="str">
        <f t="shared" si="3"/>
        <v>Valid</v>
      </c>
      <c r="O3" s="3">
        <f t="shared" si="4"/>
        <v>1</v>
      </c>
    </row>
    <row r="4" spans="1:15" hidden="1" x14ac:dyDescent="0.25">
      <c r="A4" t="s">
        <v>14</v>
      </c>
      <c r="B4" s="1">
        <v>45659</v>
      </c>
      <c r="C4" t="s">
        <v>15</v>
      </c>
      <c r="D4" t="s">
        <v>9</v>
      </c>
      <c r="E4" t="s">
        <v>16</v>
      </c>
      <c r="F4" t="s">
        <v>17</v>
      </c>
      <c r="G4" t="s">
        <v>11</v>
      </c>
      <c r="H4" t="str">
        <f t="shared" si="0"/>
        <v>Iphone</v>
      </c>
      <c r="I4" t="s">
        <v>60</v>
      </c>
      <c r="J4" t="s">
        <v>61</v>
      </c>
      <c r="K4" t="s">
        <v>62</v>
      </c>
      <c r="L4">
        <f t="shared" si="1"/>
        <v>1200</v>
      </c>
      <c r="M4" t="str">
        <f t="shared" si="2"/>
        <v/>
      </c>
      <c r="N4" t="str">
        <f t="shared" si="3"/>
        <v>Invalid</v>
      </c>
      <c r="O4">
        <f t="shared" si="4"/>
        <v>1</v>
      </c>
    </row>
    <row r="5" spans="1:15" x14ac:dyDescent="0.25">
      <c r="A5" s="3" t="s">
        <v>18</v>
      </c>
      <c r="B5" s="4">
        <v>45659</v>
      </c>
      <c r="C5" s="3" t="s">
        <v>19</v>
      </c>
      <c r="D5" s="3" t="s">
        <v>20</v>
      </c>
      <c r="E5" s="3" t="s">
        <v>21</v>
      </c>
      <c r="F5" s="3">
        <v>1</v>
      </c>
      <c r="G5" s="3" t="s">
        <v>22</v>
      </c>
      <c r="H5" s="3" t="str">
        <f t="shared" si="0"/>
        <v>Samsungs23</v>
      </c>
      <c r="I5" s="3" t="s">
        <v>66</v>
      </c>
      <c r="J5" s="3" t="s">
        <v>67</v>
      </c>
      <c r="K5" s="3" t="s">
        <v>63</v>
      </c>
      <c r="L5" s="3">
        <f t="shared" si="1"/>
        <v>950</v>
      </c>
      <c r="M5" s="3">
        <f t="shared" si="2"/>
        <v>1</v>
      </c>
      <c r="N5" s="3" t="str">
        <f t="shared" si="3"/>
        <v>Valid</v>
      </c>
      <c r="O5" s="3">
        <f t="shared" si="4"/>
        <v>1</v>
      </c>
    </row>
    <row r="6" spans="1:15" x14ac:dyDescent="0.25">
      <c r="A6" s="3" t="s">
        <v>23</v>
      </c>
      <c r="B6" s="4">
        <v>45660</v>
      </c>
      <c r="C6" s="3" t="s">
        <v>24</v>
      </c>
      <c r="D6" s="3" t="s">
        <v>20</v>
      </c>
      <c r="E6" s="3" t="s">
        <v>25</v>
      </c>
      <c r="F6" s="3">
        <v>1</v>
      </c>
      <c r="G6" s="3" t="s">
        <v>22</v>
      </c>
      <c r="H6" s="3" t="str">
        <f t="shared" si="0"/>
        <v>Samsungs23</v>
      </c>
      <c r="I6" s="3" t="s">
        <v>66</v>
      </c>
      <c r="J6" s="3" t="s">
        <v>67</v>
      </c>
      <c r="K6" s="3" t="s">
        <v>63</v>
      </c>
      <c r="L6" s="3">
        <f t="shared" si="1"/>
        <v>950</v>
      </c>
      <c r="M6" s="3">
        <f t="shared" si="2"/>
        <v>1</v>
      </c>
      <c r="N6" s="3" t="str">
        <f t="shared" si="3"/>
        <v>Valid</v>
      </c>
      <c r="O6" s="3">
        <f t="shared" si="4"/>
        <v>1</v>
      </c>
    </row>
    <row r="7" spans="1:15" hidden="1" x14ac:dyDescent="0.25">
      <c r="A7" t="s">
        <v>26</v>
      </c>
      <c r="B7" s="1">
        <v>45660</v>
      </c>
      <c r="C7" t="s">
        <v>27</v>
      </c>
      <c r="D7" t="s">
        <v>20</v>
      </c>
      <c r="E7" t="s">
        <v>21</v>
      </c>
      <c r="F7" t="s">
        <v>28</v>
      </c>
      <c r="G7" t="s">
        <v>22</v>
      </c>
      <c r="H7" t="str">
        <f t="shared" si="0"/>
        <v>Samsungs23</v>
      </c>
      <c r="I7" t="s">
        <v>66</v>
      </c>
      <c r="J7" t="s">
        <v>67</v>
      </c>
      <c r="K7" t="s">
        <v>63</v>
      </c>
      <c r="L7">
        <f t="shared" si="1"/>
        <v>950</v>
      </c>
      <c r="M7" t="str">
        <f t="shared" si="2"/>
        <v/>
      </c>
      <c r="N7" t="str">
        <f t="shared" si="3"/>
        <v>Invalid</v>
      </c>
      <c r="O7">
        <f t="shared" si="4"/>
        <v>1</v>
      </c>
    </row>
    <row r="8" spans="1:15" x14ac:dyDescent="0.25">
      <c r="A8" s="3" t="s">
        <v>29</v>
      </c>
      <c r="B8" s="4">
        <v>45661</v>
      </c>
      <c r="C8" s="3" t="s">
        <v>30</v>
      </c>
      <c r="D8" s="3" t="s">
        <v>31</v>
      </c>
      <c r="E8" s="3" t="s">
        <v>32</v>
      </c>
      <c r="F8" s="3">
        <v>1</v>
      </c>
      <c r="G8" s="3" t="s">
        <v>33</v>
      </c>
      <c r="H8" s="3" t="str">
        <f t="shared" si="0"/>
        <v>Macbookpro</v>
      </c>
      <c r="I8" s="3" t="s">
        <v>60</v>
      </c>
      <c r="J8" s="3" t="s">
        <v>68</v>
      </c>
      <c r="K8" s="3" t="s">
        <v>64</v>
      </c>
      <c r="L8" s="3">
        <f t="shared" si="1"/>
        <v>2000</v>
      </c>
      <c r="M8" s="3">
        <f t="shared" si="2"/>
        <v>1</v>
      </c>
      <c r="N8" s="3" t="str">
        <f t="shared" si="3"/>
        <v>Valid</v>
      </c>
      <c r="O8" s="3">
        <f t="shared" si="4"/>
        <v>1</v>
      </c>
    </row>
    <row r="9" spans="1:15" x14ac:dyDescent="0.25">
      <c r="A9" s="3" t="s">
        <v>34</v>
      </c>
      <c r="B9" s="4">
        <v>45661</v>
      </c>
      <c r="C9" s="3" t="s">
        <v>35</v>
      </c>
      <c r="D9" s="3" t="s">
        <v>31</v>
      </c>
      <c r="E9" s="3" t="s">
        <v>36</v>
      </c>
      <c r="F9" s="3">
        <v>1</v>
      </c>
      <c r="G9" s="3" t="s">
        <v>33</v>
      </c>
      <c r="H9" s="3" t="str">
        <f t="shared" si="0"/>
        <v>Macbookpro</v>
      </c>
      <c r="I9" s="3" t="s">
        <v>60</v>
      </c>
      <c r="J9" s="3" t="s">
        <v>68</v>
      </c>
      <c r="K9" s="3" t="s">
        <v>64</v>
      </c>
      <c r="L9" s="3">
        <f t="shared" si="1"/>
        <v>2000</v>
      </c>
      <c r="M9" s="3">
        <f t="shared" si="2"/>
        <v>1</v>
      </c>
      <c r="N9" s="3" t="str">
        <f t="shared" si="3"/>
        <v>Valid</v>
      </c>
      <c r="O9" s="3">
        <f t="shared" si="4"/>
        <v>1</v>
      </c>
    </row>
    <row r="10" spans="1:15" x14ac:dyDescent="0.25">
      <c r="A10" s="3" t="s">
        <v>37</v>
      </c>
      <c r="B10" s="4">
        <v>45662</v>
      </c>
      <c r="C10" s="3" t="s">
        <v>38</v>
      </c>
      <c r="D10" s="3" t="s">
        <v>39</v>
      </c>
      <c r="E10" s="3" t="s">
        <v>40</v>
      </c>
      <c r="F10" s="3">
        <v>3</v>
      </c>
      <c r="G10" s="3" t="s">
        <v>41</v>
      </c>
      <c r="H10" s="3" t="str">
        <f t="shared" si="0"/>
        <v>Ipad</v>
      </c>
      <c r="I10" s="3" t="s">
        <v>60</v>
      </c>
      <c r="J10" s="3" t="s">
        <v>69</v>
      </c>
      <c r="K10" s="3" t="s">
        <v>65</v>
      </c>
      <c r="L10" s="3">
        <f t="shared" si="1"/>
        <v>600</v>
      </c>
      <c r="M10" s="3">
        <f t="shared" si="2"/>
        <v>3</v>
      </c>
      <c r="N10" s="3" t="str">
        <f t="shared" si="3"/>
        <v>Valid</v>
      </c>
      <c r="O10" s="3">
        <f t="shared" si="4"/>
        <v>1</v>
      </c>
    </row>
    <row r="11" spans="1:15" hidden="1" x14ac:dyDescent="0.25">
      <c r="A11" t="s">
        <v>42</v>
      </c>
      <c r="B11" s="1">
        <v>45662</v>
      </c>
      <c r="C11" t="s">
        <v>43</v>
      </c>
      <c r="D11" t="s">
        <v>39</v>
      </c>
      <c r="E11" t="s">
        <v>44</v>
      </c>
      <c r="F11">
        <v>3</v>
      </c>
      <c r="G11" t="s">
        <v>41</v>
      </c>
      <c r="H11" t="str">
        <f t="shared" si="0"/>
        <v>Ipad</v>
      </c>
      <c r="I11" t="s">
        <v>60</v>
      </c>
      <c r="J11" t="s">
        <v>69</v>
      </c>
      <c r="K11" t="s">
        <v>65</v>
      </c>
      <c r="L11" t="str">
        <f t="shared" si="1"/>
        <v/>
      </c>
      <c r="M11">
        <f t="shared" si="2"/>
        <v>3</v>
      </c>
      <c r="N11" t="str">
        <f t="shared" si="3"/>
        <v>Invalid</v>
      </c>
      <c r="O11">
        <f t="shared" si="4"/>
        <v>1</v>
      </c>
    </row>
    <row r="12" spans="1:15" x14ac:dyDescent="0.25">
      <c r="A12" s="3" t="s">
        <v>45</v>
      </c>
      <c r="B12" s="4">
        <v>45663</v>
      </c>
      <c r="C12" s="3" t="s">
        <v>8</v>
      </c>
      <c r="D12" s="3" t="s">
        <v>9</v>
      </c>
      <c r="E12" s="3" t="s">
        <v>10</v>
      </c>
      <c r="F12" s="3">
        <v>2</v>
      </c>
      <c r="G12" s="3" t="s">
        <v>11</v>
      </c>
      <c r="H12" s="3" t="str">
        <f t="shared" si="0"/>
        <v>Iphone</v>
      </c>
      <c r="I12" s="3" t="s">
        <v>60</v>
      </c>
      <c r="J12" s="3" t="s">
        <v>61</v>
      </c>
      <c r="K12" s="3" t="s">
        <v>62</v>
      </c>
      <c r="L12" s="3">
        <f t="shared" si="1"/>
        <v>1200</v>
      </c>
      <c r="M12" s="3">
        <f t="shared" si="2"/>
        <v>2</v>
      </c>
      <c r="N12" s="3" t="str">
        <f t="shared" si="3"/>
        <v>Valid</v>
      </c>
      <c r="O12" s="3">
        <f t="shared" si="4"/>
        <v>1</v>
      </c>
    </row>
    <row r="15" spans="1:15" x14ac:dyDescent="0.25">
      <c r="A15" s="5" t="s">
        <v>46</v>
      </c>
      <c r="B15" s="5" t="s">
        <v>57</v>
      </c>
      <c r="C15" s="5" t="s">
        <v>58</v>
      </c>
      <c r="D15" s="5" t="s">
        <v>59</v>
      </c>
      <c r="E15" s="5" t="s">
        <v>70</v>
      </c>
      <c r="F15" s="5" t="s">
        <v>71</v>
      </c>
      <c r="G15" s="5" t="s">
        <v>72</v>
      </c>
      <c r="H15" s="5" t="s">
        <v>73</v>
      </c>
    </row>
    <row r="16" spans="1:15" x14ac:dyDescent="0.25">
      <c r="A16" s="3" t="s">
        <v>15</v>
      </c>
      <c r="B16" s="3" t="s">
        <v>60</v>
      </c>
      <c r="C16" s="3" t="s">
        <v>61</v>
      </c>
      <c r="D16" s="3" t="s">
        <v>62</v>
      </c>
      <c r="E16" s="3">
        <v>1200</v>
      </c>
      <c r="F16" s="3">
        <v>2</v>
      </c>
      <c r="G16" s="3" t="s">
        <v>74</v>
      </c>
      <c r="H16" s="3">
        <v>1</v>
      </c>
    </row>
    <row r="17" spans="1:8" x14ac:dyDescent="0.25">
      <c r="A17" s="3" t="s">
        <v>15</v>
      </c>
      <c r="B17" s="3" t="s">
        <v>60</v>
      </c>
      <c r="C17" s="3" t="s">
        <v>61</v>
      </c>
      <c r="D17" s="3" t="s">
        <v>62</v>
      </c>
      <c r="E17" s="3">
        <v>1200</v>
      </c>
      <c r="F17" s="3">
        <v>2</v>
      </c>
      <c r="G17" s="3" t="s">
        <v>74</v>
      </c>
      <c r="H17" s="3">
        <v>1</v>
      </c>
    </row>
    <row r="18" spans="1:8" x14ac:dyDescent="0.25">
      <c r="A18" s="3" t="s">
        <v>19</v>
      </c>
      <c r="B18" s="3" t="s">
        <v>66</v>
      </c>
      <c r="C18" s="3" t="s">
        <v>67</v>
      </c>
      <c r="D18" s="3" t="s">
        <v>63</v>
      </c>
      <c r="E18" s="3">
        <v>950</v>
      </c>
      <c r="F18" s="3">
        <v>1</v>
      </c>
      <c r="G18" s="3" t="s">
        <v>74</v>
      </c>
      <c r="H18" s="3">
        <v>1</v>
      </c>
    </row>
    <row r="19" spans="1:8" x14ac:dyDescent="0.25">
      <c r="A19" s="3" t="s">
        <v>19</v>
      </c>
      <c r="B19" s="3" t="s">
        <v>66</v>
      </c>
      <c r="C19" s="3" t="s">
        <v>67</v>
      </c>
      <c r="D19" s="3" t="s">
        <v>63</v>
      </c>
      <c r="E19" s="3">
        <v>950</v>
      </c>
      <c r="F19" s="3">
        <v>1</v>
      </c>
      <c r="G19" s="3" t="s">
        <v>74</v>
      </c>
      <c r="H19" s="3">
        <v>1</v>
      </c>
    </row>
    <row r="20" spans="1:8" x14ac:dyDescent="0.25">
      <c r="A20" s="3" t="s">
        <v>75</v>
      </c>
      <c r="B20" s="3" t="s">
        <v>60</v>
      </c>
      <c r="C20" s="3" t="s">
        <v>68</v>
      </c>
      <c r="D20" s="3" t="s">
        <v>64</v>
      </c>
      <c r="E20" s="3">
        <v>2000</v>
      </c>
      <c r="F20" s="3">
        <v>1</v>
      </c>
      <c r="G20" s="3" t="s">
        <v>74</v>
      </c>
      <c r="H20" s="3">
        <v>1</v>
      </c>
    </row>
    <row r="21" spans="1:8" x14ac:dyDescent="0.25">
      <c r="A21" s="3" t="s">
        <v>75</v>
      </c>
      <c r="B21" s="3" t="s">
        <v>60</v>
      </c>
      <c r="C21" s="3" t="s">
        <v>68</v>
      </c>
      <c r="D21" s="3" t="s">
        <v>64</v>
      </c>
      <c r="E21" s="3">
        <v>2000</v>
      </c>
      <c r="F21" s="3">
        <v>1</v>
      </c>
      <c r="G21" s="3" t="s">
        <v>74</v>
      </c>
      <c r="H21" s="3">
        <v>1</v>
      </c>
    </row>
    <row r="22" spans="1:8" x14ac:dyDescent="0.25">
      <c r="A22" s="3" t="s">
        <v>38</v>
      </c>
      <c r="B22" s="3" t="s">
        <v>60</v>
      </c>
      <c r="C22" s="3" t="s">
        <v>69</v>
      </c>
      <c r="D22" s="3" t="s">
        <v>65</v>
      </c>
      <c r="E22" s="3">
        <v>600</v>
      </c>
      <c r="F22" s="3">
        <v>3</v>
      </c>
      <c r="G22" s="3" t="s">
        <v>74</v>
      </c>
      <c r="H22" s="3">
        <v>1</v>
      </c>
    </row>
    <row r="23" spans="1:8" x14ac:dyDescent="0.25">
      <c r="A23" s="3" t="s">
        <v>15</v>
      </c>
      <c r="B23" s="3" t="s">
        <v>60</v>
      </c>
      <c r="C23" s="3" t="s">
        <v>61</v>
      </c>
      <c r="D23" s="3" t="s">
        <v>62</v>
      </c>
      <c r="E23" s="3">
        <v>1200</v>
      </c>
      <c r="F23" s="3">
        <v>2</v>
      </c>
      <c r="G23" s="3" t="s">
        <v>74</v>
      </c>
      <c r="H23" s="3">
        <v>1</v>
      </c>
    </row>
    <row r="24" spans="1:8" x14ac:dyDescent="0.25">
      <c r="D24" s="3" t="s">
        <v>15</v>
      </c>
      <c r="E24">
        <f>AVERAGE(E16:E23)</f>
        <v>1262.5</v>
      </c>
    </row>
    <row r="25" spans="1:8" x14ac:dyDescent="0.25">
      <c r="E25">
        <f>_xlfn.STDEV.S(E16:E23)</f>
        <v>497.67315723130116</v>
      </c>
    </row>
    <row r="27" spans="1:8" ht="45" x14ac:dyDescent="0.25">
      <c r="A27" s="18" t="s">
        <v>76</v>
      </c>
      <c r="B27" s="19" t="s">
        <v>77</v>
      </c>
      <c r="C27" s="11" t="s">
        <v>78</v>
      </c>
      <c r="E27" s="14"/>
    </row>
    <row r="28" spans="1:8" x14ac:dyDescent="0.25">
      <c r="A28" s="16"/>
      <c r="B28" s="15"/>
      <c r="C28" s="2"/>
      <c r="E28" s="16"/>
    </row>
    <row r="29" spans="1:8" ht="49.5" customHeight="1" x14ac:dyDescent="0.25">
      <c r="A29" s="18" t="s">
        <v>84</v>
      </c>
      <c r="B29" s="19" t="s">
        <v>47</v>
      </c>
      <c r="C29" s="11" t="s">
        <v>48</v>
      </c>
      <c r="E29" s="14"/>
    </row>
    <row r="30" spans="1:8" x14ac:dyDescent="0.25">
      <c r="A30" s="14"/>
      <c r="B30" s="20" t="s">
        <v>49</v>
      </c>
      <c r="C30" s="12" t="s">
        <v>50</v>
      </c>
      <c r="E30" s="14"/>
    </row>
    <row r="31" spans="1:8" x14ac:dyDescent="0.25">
      <c r="A31" s="14"/>
      <c r="B31" s="20" t="s">
        <v>51</v>
      </c>
      <c r="C31" s="12" t="s">
        <v>52</v>
      </c>
      <c r="E31" s="14"/>
    </row>
    <row r="32" spans="1:8" x14ac:dyDescent="0.25">
      <c r="A32" s="14"/>
      <c r="B32" s="20" t="s">
        <v>53</v>
      </c>
      <c r="C32" s="12" t="s">
        <v>54</v>
      </c>
      <c r="E32" s="14"/>
    </row>
    <row r="33" spans="1:5" x14ac:dyDescent="0.25">
      <c r="A33" s="14"/>
      <c r="B33" s="20" t="s">
        <v>55</v>
      </c>
      <c r="C33" s="12" t="s">
        <v>56</v>
      </c>
      <c r="E33" s="14"/>
    </row>
    <row r="34" spans="1:5" x14ac:dyDescent="0.25">
      <c r="A34" s="16"/>
      <c r="B34" s="15"/>
      <c r="C34" s="2"/>
      <c r="E34" s="16"/>
    </row>
    <row r="35" spans="1:5" ht="12" customHeight="1" x14ac:dyDescent="0.25">
      <c r="A35" s="14"/>
      <c r="B35" s="17"/>
      <c r="C35" s="10"/>
      <c r="E35" s="14"/>
    </row>
    <row r="36" spans="1:5" hidden="1" x14ac:dyDescent="0.25">
      <c r="A36" s="10"/>
      <c r="B36" s="14"/>
      <c r="C36" s="17"/>
      <c r="E36" s="17"/>
    </row>
    <row r="37" spans="1:5" ht="45" customHeight="1" x14ac:dyDescent="0.25">
      <c r="A37" s="23" t="s">
        <v>85</v>
      </c>
      <c r="B37" s="24" t="s">
        <v>79</v>
      </c>
      <c r="C37" s="2"/>
      <c r="E37" s="16"/>
    </row>
    <row r="38" spans="1:5" x14ac:dyDescent="0.25">
      <c r="A38" s="14"/>
      <c r="B38" s="17"/>
      <c r="C38" s="10"/>
      <c r="E38" s="14"/>
    </row>
    <row r="39" spans="1:5" ht="37.5" customHeight="1" x14ac:dyDescent="0.25">
      <c r="A39" s="13" t="s">
        <v>86</v>
      </c>
      <c r="B39" s="21" t="s">
        <v>80</v>
      </c>
      <c r="C39" s="10"/>
      <c r="E39" s="14"/>
    </row>
    <row r="40" spans="1:5" x14ac:dyDescent="0.25">
      <c r="A40" s="14"/>
      <c r="B40" s="22" t="s">
        <v>81</v>
      </c>
      <c r="C40" s="10"/>
      <c r="E40" s="14"/>
    </row>
    <row r="41" spans="1:5" x14ac:dyDescent="0.25">
      <c r="A41" s="16"/>
      <c r="B41" s="25" t="s">
        <v>82</v>
      </c>
      <c r="C41" s="2"/>
      <c r="E41" s="16"/>
    </row>
    <row r="42" spans="1:5" ht="32.25" customHeight="1" x14ac:dyDescent="0.25">
      <c r="A42" s="7" t="s">
        <v>87</v>
      </c>
      <c r="B42" s="8" t="s">
        <v>83</v>
      </c>
      <c r="C42" s="2"/>
      <c r="E42" s="9"/>
    </row>
    <row r="43" spans="1:5" ht="75" x14ac:dyDescent="0.25">
      <c r="A43" s="26" t="s">
        <v>88</v>
      </c>
      <c r="B43" s="27" t="s">
        <v>89</v>
      </c>
      <c r="C43" s="2"/>
      <c r="E43" s="16"/>
    </row>
  </sheetData>
  <autoFilter ref="A1:O13" xr:uid="{CFFD5E05-5E8F-44C2-BAF1-F7F37F9EA0DC}">
    <filterColumn colId="11">
      <customFilters>
        <customFilter operator="notEqual" val=" "/>
      </customFilters>
    </filterColumn>
    <filterColumn colId="13">
      <filters blank="1">
        <filter val="Valid"/>
      </filters>
    </filterColumn>
    <sortState xmlns:xlrd2="http://schemas.microsoft.com/office/spreadsheetml/2017/richdata2" ref="A2:O12">
      <sortCondition ref="N1:N1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2026-01-31T03:53:02Z</dcterms:created>
  <dcterms:modified xsi:type="dcterms:W3CDTF">2026-02-01T05:30:00Z</dcterms:modified>
</cp:coreProperties>
</file>